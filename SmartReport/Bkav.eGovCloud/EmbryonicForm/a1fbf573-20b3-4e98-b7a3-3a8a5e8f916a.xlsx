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calcChain.xml><?xml version="1.0" encoding="utf-8"?>
<x:calcChain xmlns:x="http://schemas.openxmlformats.org/spreadsheetml/2006/main">
  <x:c r="D4" i="1"/>
  <x:c r="E4" i="1"/>
  <x:c r="F4" i="1"/>
  <x:c r="G4" i="1"/>
  <x:c r="H4" i="1"/>
  <x:c r="I4" i="1"/>
  <x:c r="C5" i="1"/>
  <x:c r="D5" i="1"/>
  <x:c r="E5" i="1"/>
  <x:c r="F5" i="1"/>
  <x:c r="G5" i="1"/>
  <x:c r="H5" i="1"/>
  <x:c r="I5" i="1"/>
  <x:c r="C6" i="1"/>
  <x:c r="D6" i="1"/>
  <x:c r="E6" i="1"/>
  <x:c r="F6" i="1"/>
  <x:c r="G6" i="1"/>
  <x:c r="I6" i="1"/>
  <x:c r="C7" i="1"/>
  <x:c r="D7" i="1"/>
  <x:c r="E7" i="1"/>
  <x:c r="F7" i="1"/>
  <x:c r="G7" i="1"/>
  <x:c r="I7" i="1"/>
  <x:c r="C9" i="1"/>
  <x:c r="D9" i="1"/>
  <x:c r="E9" i="1"/>
  <x:c r="F9" i="1"/>
  <x:c r="G9" i="1"/>
  <x:c r="H9" i="1"/>
  <x:c r="I9" i="1"/>
  <x:c r="C13" i="1"/>
  <x:c r="D13" i="1"/>
  <x:c r="E13" i="1"/>
  <x:c r="F13" i="1"/>
  <x:c r="G13" i="1"/>
  <x:c r="H13" i="1"/>
  <x:c r="I13" i="1"/>
  <x:c r="C15" i="1"/>
  <x:c r="D15" i="1"/>
  <x:c r="E15" i="1"/>
  <x:c r="F15" i="1"/>
  <x:c r="G15" i="1"/>
  <x:c r="H15" i="1"/>
  <x:c r="I15" i="1"/>
  <x:c r="C18" i="1"/>
  <x:c r="D18" i="1"/>
  <x:c r="E18" i="1"/>
  <x:c r="F18" i="1"/>
  <x:c r="G18" i="1"/>
  <x:c r="H18" i="1"/>
  <x:c r="I18" i="1"/>
</x:calcChain>
</file>

<file path=xl/sharedStrings.xml><?xml version="1.0" encoding="utf-8"?>
<x:sst xmlns:x="http://schemas.openxmlformats.org/spreadsheetml/2006/main" count="48" uniqueCount="48">
  <x:si>
    <x:t>TT</x:t>
  </x:si>
  <x:si>
    <x:t>Cơ sở y tế</x:t>
  </x:si>
  <x:si>
    <x:t>Số cơ sở</x:t>
  </x:si>
  <x:si>
    <x:t xml:space="preserve">Giường bệnh </x:t>
  </x:si>
  <x:si>
    <x:t xml:space="preserve">Số cơ sở được kiểm tra xử lý chất thải </x:t>
  </x:si>
  <x:si>
    <x:t xml:space="preserve">Trđ: Số cơ sở đạt tiêu chuẩn xử lý loại chất thải </x:t>
  </x:si>
  <x:si>
    <x:t>Ghi chú</x:t>
  </x:si>
  <x:si>
    <x:t>Giường KH</x:t>
  </x:si>
  <x:si>
    <x:t>Giường thực kê</x:t>
  </x:si>
  <x:si>
    <x:t>Chất thải rắn</x:t>
  </x:si>
  <x:si>
    <x:t>Chất thải lỏng</x:t>
  </x:si>
  <x:si>
    <x:t>Chất thải khí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</x:si>
  <x:si>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</x:si>
  <x:si>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</x:si>
  <x:si>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</x:si>
  <x:si>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</x:si>
  <x:si>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</x:si>
  <x:si>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</x:si>
  <x:si>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</x:si>
  <x:si>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</x:si>
  <x:si>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</x:si>
  <x:si>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J</x:t>
  </x:si>
  <x:si>
    <x:t xml:space="preserve">TỔNG SỐ </x:t>
  </x:si>
  <x:si>
    <x:t>x</x:t>
  </x:si>
  <x:si>
    <x:t>Y tế công lập</x:t>
  </x:si>
  <x:si>
    <x:t>II</x:t>
  </x:si>
  <x:si>
    <x:t>Tuyến huyện</x:t>
  </x:si>
  <x:si>
    <x:t>Khối TTYT</x:t>
  </x:si>
  <x:si>
    <x:t>Cẩm Phả</x:t>
  </x:si>
  <x:si>
    <x:t>01</x:t>
  </x:si>
  <x:si>
    <x:t>BVĐK tuyến huyện</x:t>
  </x:si>
  <x:si>
    <x:t>BVĐK Cẩm Phả</x:t>
  </x:si>
  <x:si>
    <x:t>III</x:t>
  </x:si>
  <x:si>
    <x:t>Trạm Y tế xã</x:t>
  </x:si>
  <x:si>
    <x:t>10</x:t>
  </x:si>
  <x:si>
    <x:t>Y tế thuộc Bộ, ngành khác</x:t>
  </x:si>
  <x:si>
    <x:t>0</x:t>
  </x:si>
  <x:si>
    <x:t>Y tế tư nhân</x:t>
  </x:si>
  <x:si>
    <x:t>PK/Nhà hộ sinh có giường</x:t>
  </x:si>
  <x:si>
    <x:t>Cơ sở không giường</x:t>
  </x:si>
  <x:si>
    <x:t>Phòng khám đa khoa</x:t>
  </x:si>
  <x:si>
    <x:t>1</x:t>
  </x:si>
  <x:si>
    <x:t>Phòng khám chuyên khoa</x:t>
  </x:si>
  <x:si>
    <x:t>15</x:t>
  </x:si>
  <x:si>
    <x:t>Cơ sở cận lâm sàng</x:t>
  </x:si>
  <x:si>
    <x:t>Xét nghiệm</x:t>
  </x:si>
  <x:si>
    <x:t>Siêu âm</x:t>
  </x:si>
  <x:si>
    <x:t>X quang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</x:si>
</x:sst>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@"/>
    <x:numFmt numFmtId="166" formatCode="#,##0"/>
  </x:numFmts>
  <x:fonts count="18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2"/>
      <x:charset val="1"/>
    </x:font>
    <x:font>
      <x:b val="true"/>
      <x:sz val="12"/>
      <x:name val="Times New Roman"/>
      <x:family val="1"/>
      <x:charset val="163"/>
    </x:font>
    <x:font>
      <x:b val="true"/>
      <x:sz val="12"/>
      <x:name val="Times New Roman"/>
      <x:family val="1"/>
      <x:charset val="1"/>
    </x:font>
    <x:font>
      <x:sz val="12"/>
      <x:name val="Times New Roman"/>
      <x:family val="1"/>
      <x:charset val="1"/>
    </x:font>
    <x:font>
      <x:i val="true"/>
      <x:sz val="10"/>
      <x:name val="Times New Roman"/>
      <x:family val="1"/>
      <x:charset val="1"/>
    </x:font>
    <x:font>
      <x:b val="true"/>
      <x:sz val="12"/>
      <x:color rgb="FFFF0000"/>
      <x:name val="Times New Roman"/>
      <x:family val="1"/>
      <x:charset val="163"/>
    </x:font>
    <x:font>
      <x:b val="true"/>
      <x:sz val="12"/>
      <x:color rgb="FF000000"/>
      <x:name val="Times New Roman"/>
      <x:family val="1"/>
      <x:charset val="163"/>
    </x:font>
    <x:font>
      <x:b val="true"/>
      <x:sz val="12"/>
      <x:color rgb="FFFF0000"/>
      <x:name val="Times New Roman"/>
      <x:family val="1"/>
      <x:charset val="1"/>
    </x:font>
    <x:font>
      <x:sz val="12"/>
      <x:color rgb="FFFF0000"/>
      <x:name val="Times New Roman"/>
      <x:family val="1"/>
      <x:charset val="163"/>
    </x:font>
    <x:font>
      <x:b val="true"/>
      <x:i val="true"/>
      <x:sz val="12"/>
      <x:name val="Times New Roman"/>
      <x:family val="1"/>
      <x:charset val="163"/>
    </x:font>
    <x:font>
      <x:b val="true"/>
      <x:i val="true"/>
      <x:sz val="12"/>
      <x:name val="Times New Roman"/>
      <x:family val="1"/>
      <x:charset val="1"/>
    </x:font>
    <x:font>
      <x:i val="true"/>
      <x:sz val="12"/>
      <x:name val="Times New Roman"/>
      <x:family val="1"/>
      <x:charset val="163"/>
    </x:font>
    <x:font>
      <x:sz val="12"/>
      <x:name val="Times New Roman"/>
      <x:family val="1"/>
      <x:charset val="163"/>
    </x:font>
    <x:font>
      <x:i val="true"/>
      <x:sz val="12"/>
      <x:name val="Times New Roman"/>
      <x:family val="1"/>
      <x:charset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rgb="FFFFFFFF"/>
        <x:bgColor rgb="FFEBF1DE"/>
      </x:patternFill>
    </x:fill>
    <x:fill>
      <x:patternFill patternType="solid">
        <x:fgColor rgb="FFFCD5B5"/>
        <x:bgColor rgb="FFEBF1DE"/>
      </x:patternFill>
    </x:fill>
    <x:fill>
      <x:patternFill patternType="solid">
        <x:fgColor rgb="FFEBF1DE"/>
        <x:bgColor rgb="FFFFFFFF"/>
      </x:patternFill>
    </x:fill>
  </x:fills>
  <x:borders count="11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/>
      <x:right style="thin"/>
      <x:top/>
      <x:bottom style="thin"/>
      <x:diagonal/>
    </x:border>
    <x:border diagonalUp="false" diagonalDown="false">
      <x:left style="thin"/>
      <x:right/>
      <x:top/>
      <x:bottom style="thin"/>
      <x:diagonal/>
    </x:border>
    <x:border diagonalUp="false" diagonalDown="false">
      <x:left style="thin"/>
      <x:right/>
      <x:top style="thin"/>
      <x:bottom style="thin"/>
      <x:diagonal/>
    </x:border>
    <x:border diagonalUp="false" diagonalDown="false">
      <x:left/>
      <x:right/>
      <x:top style="thin"/>
      <x:bottom style="thin"/>
      <x:diagonal/>
    </x:border>
    <x:border diagonalUp="false" diagonalDown="false">
      <x:left/>
      <x:right style="thin"/>
      <x:top style="thin"/>
      <x:bottom style="thin"/>
      <x:diagonal/>
    </x:border>
    <x:border diagonalUp="false" diagonalDown="false">
      <x:left style="thin"/>
      <x:right style="thin"/>
      <x:top style="dashed"/>
      <x:bottom style="dashed"/>
      <x:diagonal/>
    </x:border>
    <x:border diagonalUp="false" diagonalDown="false">
      <x:left style="thin"/>
      <x:right style="thin"/>
      <x:top style="thin"/>
      <x:bottom style="dashed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3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4" fontId="12" fillId="4" borderId="0" applyNumberFormat="1" applyFill="0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15" fillId="0" borderId="0" applyNumberFormat="1" applyFill="1" applyBorder="0" applyAlignment="1" applyProtection="1">
      <x:protection locked="1" hidden="0"/>
    </x:xf>
    <x:xf numFmtId="164" fontId="5" fillId="0" borderId="9" applyNumberFormat="1" applyFill="1" applyBorder="1" applyAlignment="1" applyProtection="1">
      <x:protection locked="1" hidden="0"/>
    </x:xf>
    <x:xf numFmtId="165" fontId="5" fillId="0" borderId="9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5" fillId="2" borderId="9" applyNumberFormat="1" applyFill="0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10" applyNumberFormat="1" applyFill="1" applyBorder="1" applyAlignment="1" applyProtection="1">
      <x:protection locked="1" hidden="0"/>
    </x:xf>
    <x:xf numFmtId="165" fontId="5" fillId="0" borderId="10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7" fillId="3" borderId="2" applyNumberFormat="1" applyFill="0" applyBorder="1" applyAlignment="1" applyProtection="1">
      <x:protection locked="1" hidden="0"/>
    </x:xf>
    <x:xf numFmtId="164" fontId="5" fillId="2" borderId="10" applyNumberFormat="1" applyFill="0" applyBorder="1" applyAlignment="1" applyProtection="1">
      <x:protection locked="1" hidden="0"/>
    </x:xf>
    <x:xf numFmtId="164" fontId="7" fillId="2" borderId="3" applyNumberFormat="1" applyFill="0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  <x:xf numFmtId="164" fontId="8" fillId="0" borderId="4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5" fontId="8" fillId="0" borderId="5" applyNumberFormat="1" applyFill="1" applyBorder="1" applyAlignment="1" applyProtection="1">
      <x:protection locked="1" hidden="0"/>
    </x:xf>
    <x:xf numFmtId="164" fontId="8" fillId="0" borderId="5" applyNumberFormat="1" applyFill="1" applyBorder="1" applyAlignment="1" applyProtection="1">
      <x:protection locked="1" hidden="0"/>
    </x:xf>
    <x:xf numFmtId="164" fontId="8" fillId="0" borderId="6" applyNumberFormat="1" applyFill="1" applyBorder="1" applyAlignment="1" applyProtection="1">
      <x:protection locked="1" hidden="0"/>
    </x:xf>
    <x:xf numFmtId="164" fontId="9" fillId="4" borderId="7" applyNumberFormat="1" applyFill="0" applyBorder="1" applyAlignment="1" applyProtection="1">
      <x:protection locked="1" hidden="0"/>
    </x:xf>
    <x:xf numFmtId="165" fontId="9" fillId="4" borderId="7" applyNumberFormat="1" applyFill="0" applyBorder="1" applyAlignment="1" applyProtection="1">
      <x:protection locked="1" hidden="0"/>
    </x:xf>
    <x:xf numFmtId="166" fontId="5" fillId="4" borderId="7" applyNumberFormat="1" applyFill="0" applyBorder="1" applyAlignment="1" applyProtection="1">
      <x:protection locked="1" hidden="0"/>
    </x:xf>
    <x:xf numFmtId="164" fontId="9" fillId="2" borderId="7" applyNumberFormat="1" applyFill="0" applyBorder="1" applyAlignment="1" applyProtection="1">
      <x:protection locked="1" hidden="0"/>
    </x:xf>
    <x:xf numFmtId="164" fontId="5" fillId="4" borderId="7" applyNumberFormat="1" applyFill="0" applyBorder="1" applyAlignment="1" applyProtection="1">
      <x:protection locked="1" hidden="0"/>
    </x:xf>
    <x:xf numFmtId="164" fontId="5" fillId="5" borderId="7" applyNumberFormat="1" applyFill="0" applyBorder="1" applyAlignment="1" applyProtection="1">
      <x:protection locked="1" hidden="0"/>
    </x:xf>
    <x:xf numFmtId="166" fontId="5" fillId="5" borderId="7" applyNumberFormat="1" applyFill="0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6" fontId="5" fillId="0" borderId="7" applyNumberFormat="1" applyFill="1" applyBorder="1" applyAlignment="1" applyProtection="1">
      <x:protection locked="1" hidden="0"/>
    </x:xf>
    <x:xf numFmtId="164" fontId="13" fillId="0" borderId="7" applyNumberFormat="1" applyFill="1" applyBorder="1" applyAlignment="1" applyProtection="1">
      <x:protection locked="1" hidden="0"/>
    </x:xf>
    <x:xf numFmtId="166" fontId="13" fillId="0" borderId="7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6" fontId="7" fillId="0" borderId="7" applyNumberFormat="1" applyFill="1" applyBorder="1" applyAlignment="1" applyProtection="1">
      <x:protection locked="1" hidden="0"/>
    </x:xf>
    <x:xf numFmtId="165" fontId="7" fillId="0" borderId="7" applyNumberFormat="1" applyFill="1" applyBorder="1" applyAlignment="1" applyProtection="1">
      <x:protection locked="1" hidden="0"/>
    </x:xf>
    <x:xf numFmtId="164" fontId="15" fillId="0" borderId="7" applyNumberFormat="1" applyFill="1" applyBorder="1" applyAlignment="1" applyProtection="1">
      <x:protection locked="1" hidden="0"/>
    </x:xf>
    <x:xf numFmtId="164" fontId="13" fillId="0" borderId="8" applyNumberFormat="1" applyFill="1" applyBorder="1" applyAlignment="1" applyProtection="1">
      <x:protection locked="1" hidden="0"/>
    </x:xf>
    <x:xf numFmtId="166" fontId="13" fillId="0" borderId="8" applyNumberFormat="1" applyFill="1" applyBorder="1" applyAlignment="1" applyProtection="1">
      <x:protection locked="1" hidden="0"/>
    </x:xf>
    <x:xf numFmtId="165" fontId="5" fillId="0" borderId="7" applyNumberFormat="1" applyFill="1" applyBorder="1" applyAlignment="1" applyProtection="1">
      <x:protection locked="1" hidden="0"/>
    </x:xf>
    <x:xf numFmtId="165" fontId="5" fillId="5" borderId="7" applyNumberFormat="1" applyFill="0" applyBorder="1" applyAlignment="1" applyProtection="1">
      <x:protection locked="1" hidden="0"/>
    </x:xf>
    <x:xf numFmtId="165" fontId="15" fillId="0" borderId="7" applyNumberFormat="1" applyFill="1" applyBorder="1" applyAlignment="1" applyProtection="1">
      <x:protection locked="1" hidden="0"/>
    </x:xf>
  </x:cellStyleXfs>
  <x:cellXfs count="11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false" applyBorder="fals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5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2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3" borderId="2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2" borderId="3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2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4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8" fillId="0" borderId="5" xfId="2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4" fontId="8" fillId="0" borderId="1" xfId="2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4" fontId="8" fillId="0" borderId="5" xfId="2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4" fontId="8" fillId="0" borderId="4" xfId="2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4" fontId="8" fillId="0" borderId="6" xfId="2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4" fontId="9" fillId="4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9" fillId="4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9" fillId="4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6" fontId="10" fillId="4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1" fillId="2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0" fillId="4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2" fillId="4" borderId="0" xfId="2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5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5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6" fontId="5" fillId="5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5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0" xfId="2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6" fontId="5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3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14" fillId="0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4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6" fontId="14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4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4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6" fontId="7" fillId="0" borderId="7" xfId="2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5" fontId="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6" fontId="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5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14" fillId="0" borderId="8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6" fontId="14" fillId="0" borderId="8" xfId="2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6" fontId="14" fillId="0" borderId="8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4" fillId="0" borderId="8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4" fillId="0" borderId="8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6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6" fontId="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6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6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5" fontId="5" fillId="5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6" fillId="5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6" fillId="5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6" fillId="5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6" fillId="5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17" fillId="0" borderId="7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7" fillId="0" borderId="7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1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7" fillId="0" borderId="7" xfId="2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17" fillId="0" borderId="0" xfId="2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17" fillId="0" borderId="7" xfId="2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17" fillId="0" borderId="7" xfId="2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9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9" fillId="4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9" fillId="4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5" fillId="4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9" fillId="2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5" fillId="4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5" fillId="5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5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5" fillId="5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5" fillId="5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3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3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3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3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3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3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3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5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5" fillId="5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5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5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5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7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Normal 2" xfId="20" builtinId="53" customBuiltin="tru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BF1DE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CD5B5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J21"/>
  <x:sheetViews>
    <x:sheetView windowProtection="false" tabSelected="1" defaultGridColor="true" topLeftCell="A1" colorId="64" workbookViewId="0">
      <x:selection activeCell="J4" sqref="J4"/>
    </x:sheetView>
  </x:sheetViews>
  <x:sheetFormatPr defaultRowHeight="15"/>
  <x:cols>
    <x:col min="1" max="1" width="3.780612" style="71" customWidth="1"/>
    <x:col min="2" max="2" width="24.433673" style="71" customWidth="1"/>
    <x:col min="3" max="3" width="15.795918" style="0" customWidth="1"/>
    <x:col min="4" max="4" width="13.091837" style="0" customWidth="1"/>
    <x:col min="5" max="5" width="11.47449" style="0" customWidth="1"/>
    <x:col min="6" max="6" width="15.255102" style="0" customWidth="1"/>
    <x:col min="7" max="7" width="11.744898" style="0" customWidth="1"/>
    <x:col min="8" max="8" width="12.959184" style="0" customWidth="1"/>
    <x:col min="9" max="9" width="12.285714" style="0" customWidth="1"/>
    <x:col min="10" max="10" width="10.260204" style="71" customWidth="1"/>
    <x:col min="11" max="1025" width="8.505102" style="71" customWidth="1"/>
  </x:cols>
  <x:sheetData>
    <x:row r="1" spans="1:1025" s="71" customFormat="1" ht="15.75" customHeight="1" outlineLevel="0">
      <x:c r="A1" s="74" t="s">
        <x:v>0</x:v>
      </x:c>
      <x:c r="B1" s="74" t="s">
        <x:v>1</x:v>
      </x:c>
      <x:c r="C1" s="75" t="s">
        <x:v>2</x:v>
      </x:c>
      <x:c r="D1" s="76" t="s">
        <x:v>3</x:v>
      </x:c>
      <x:c r="E1" s="77" t="s"/>
      <x:c r="F1" s="78" t="s">
        <x:v>4</x:v>
      </x:c>
      <x:c r="G1" s="76" t="s">
        <x:v>5</x:v>
      </x:c>
      <x:c r="H1" s="79" t="s"/>
      <x:c r="I1" s="77" t="s"/>
      <x:c r="J1" s="80" t="s">
        <x:v>6</x:v>
      </x:c>
    </x:row>
    <x:row r="2" spans="1:1025" s="71" customFormat="1" ht="31.5" customHeight="1" outlineLevel="0">
      <x:c r="A2" s="81" t="s"/>
      <x:c r="B2" s="81" t="s"/>
      <x:c r="C2" s="82" t="s"/>
      <x:c r="D2" s="6" t="s">
        <x:v>7</x:v>
      </x:c>
      <x:c r="E2" s="83" t="s">
        <x:v>8</x:v>
      </x:c>
      <x:c r="F2" s="84" t="s"/>
      <x:c r="G2" s="85" t="s">
        <x:v>9</x:v>
      </x:c>
      <x:c r="H2" s="6" t="s">
        <x:v>10</x:v>
      </x:c>
      <x:c r="I2" s="9" t="s">
        <x:v>11</x:v>
      </x:c>
      <x:c r="J2" s="86" t="s"/>
    </x:row>
    <x:row r="3" spans="1:1025" s="71" customFormat="1" ht="15" customHeight="1" outlineLevel="0">
      <x:c r="A3" s="10" t="s">
        <x:v>12</x:v>
      </x:c>
      <x:c r="B3" s="11" t="s">
        <x:v>13</x:v>
      </x:c>
      <x:c r="C3" s="12" t="s">
        <x:v>14</x:v>
      </x:c>
      <x:c r="D3" s="13" t="s">
        <x:v>15</x:v>
      </x:c>
      <x:c r="E3" s="14" t="s">
        <x:v>16</x:v>
      </x:c>
      <x:c r="F3" s="13" t="s">
        <x:v>17</x:v>
      </x:c>
      <x:c r="G3" s="15" t="s">
        <x:v>18</x:v>
      </x:c>
      <x:c r="H3" s="13" t="s">
        <x:v>19</x:v>
      </x:c>
      <x:c r="I3" s="16" t="s">
        <x:v>20</x:v>
      </x:c>
      <x:c r="J3" s="11" t="s">
        <x:v>21</x:v>
      </x:c>
    </x:row>
    <x:row r="4" spans="1:1025" s="72" customFormat="1" ht="15.75" customHeight="1" outlineLevel="0">
      <x:c r="A4" s="87" t="s"/>
      <x:c r="B4" s="88" t="s">
        <x:v>22</x:v>
      </x:c>
      <x:c r="C4" s="89" t="s"/>
      <x:c r="D4" s="90" t="n">
        <x:f>D5+D12+D13</x:f>
      </x:c>
      <x:c r="E4" s="90" t="n">
        <x:f>E5+E12+E13</x:f>
      </x:c>
      <x:c r="F4" s="91" t="n">
        <x:f>F5+F12+F13</x:f>
      </x:c>
      <x:c r="G4" s="91" t="n">
        <x:f>G5+G12+G13</x:f>
      </x:c>
      <x:c r="H4" s="92" t="n">
        <x:f>H5+H12+H13</x:f>
      </x:c>
      <x:c r="I4" s="92" t="n">
        <x:f>I5+I12+I13</x:f>
      </x:c>
      <x:c r="J4" s="88" t="s">
        <x:v>23</x:v>
      </x:c>
    </x:row>
    <x:row r="5" spans="1:1025" s="28" customFormat="1" ht="15.75" customHeight="1" outlineLevel="0">
      <x:c r="A5" s="93" t="s">
        <x:v>12</x:v>
      </x:c>
      <x:c r="B5" s="94" t="s">
        <x:v>24</x:v>
      </x:c>
      <x:c r="C5" s="95" t="n">
        <x:f>C6+C11</x:f>
      </x:c>
      <x:c r="D5" s="95" t="n">
        <x:f>D6+D11</x:f>
      </x:c>
      <x:c r="E5" s="95" t="n">
        <x:f>E6+E11</x:f>
      </x:c>
      <x:c r="F5" s="96" t="n">
        <x:f>F6+F11</x:f>
      </x:c>
      <x:c r="G5" s="96" t="n">
        <x:f>G6+G11</x:f>
      </x:c>
      <x:c r="H5" s="96" t="n">
        <x:f>H6+H11</x:f>
      </x:c>
      <x:c r="I5" s="96" t="n">
        <x:f>I6+I11</x:f>
      </x:c>
      <x:c r="J5" s="94" t="s"/>
    </x:row>
    <x:row r="6" spans="1:1025" s="71" customFormat="1" ht="15.75" customHeight="1" outlineLevel="0">
      <x:c r="A6" s="29" t="s">
        <x:v>25</x:v>
      </x:c>
      <x:c r="B6" s="30" t="s">
        <x:v>26</x:v>
      </x:c>
      <x:c r="C6" s="31" t="n">
        <x:f>C7+C9</x:f>
      </x:c>
      <x:c r="D6" s="31" t="n">
        <x:f>D7+D9</x:f>
      </x:c>
      <x:c r="E6" s="31" t="n">
        <x:f>E7+E9</x:f>
      </x:c>
      <x:c r="F6" s="32" t="n">
        <x:f>F7+F9</x:f>
      </x:c>
      <x:c r="G6" s="32" t="n">
        <x:f>G7+G9</x:f>
      </x:c>
      <x:c r="H6" s="32" t="n">
        <x:v>1</x:v>
      </x:c>
      <x:c r="I6" s="32" t="n">
        <x:f>I7+I9</x:f>
      </x:c>
      <x:c r="J6" s="33" t="s"/>
    </x:row>
    <x:row r="7" spans="1:1025" s="71" customFormat="1" ht="15.75" customHeight="1" outlineLevel="0">
      <x:c r="A7" s="97" t="s"/>
      <x:c r="B7" s="33" t="s">
        <x:v>27</x:v>
      </x:c>
      <x:c r="C7" s="98" t="n">
        <x:f>SUM(C8:C8)</x:f>
      </x:c>
      <x:c r="D7" s="98" t="n">
        <x:f>SUM(D8:D8)</x:f>
      </x:c>
      <x:c r="E7" s="98" t="n">
        <x:f>SUM(E8:E8)</x:f>
      </x:c>
      <x:c r="F7" s="99" t="n">
        <x:f>SUM(F8:F8)</x:f>
      </x:c>
      <x:c r="G7" s="99" t="n">
        <x:f>SUM(G8:G8)</x:f>
      </x:c>
      <x:c r="H7" s="99" t="n">
        <x:v>1</x:v>
      </x:c>
      <x:c r="I7" s="99" t="n">
        <x:f>SUM(I8:I8)</x:f>
      </x:c>
      <x:c r="J7" s="33" t="s"/>
    </x:row>
    <x:row r="8" spans="1:1025" s="71" customFormat="1" ht="15.75" customHeight="1" outlineLevel="0">
      <x:c r="A8" s="39" t="n">
        <x:v>1</x:v>
      </x:c>
      <x:c r="B8" s="40" t="s">
        <x:v>28</x:v>
      </x:c>
      <x:c r="C8" s="41" t="s">
        <x:v>29</x:v>
      </x:c>
      <x:c r="D8" s="42" t="n">
        <x:v>150</x:v>
      </x:c>
      <x:c r="E8" s="43" t="n">
        <x:v>150</x:v>
      </x:c>
      <x:c r="F8" s="43" t="n">
        <x:v>1</x:v>
      </x:c>
      <x:c r="G8" s="43" t="n">
        <x:v>1</x:v>
      </x:c>
      <x:c r="H8" s="43" t="n">
        <x:v>1</x:v>
      </x:c>
      <x:c r="I8" s="43" t="n">
        <x:v>0</x:v>
      </x:c>
      <x:c r="J8" s="45" t="s"/>
    </x:row>
    <x:row r="9" spans="1:1025" s="71" customFormat="1" ht="15.75" customHeight="1" outlineLevel="0">
      <x:c r="A9" s="100" t="s"/>
      <x:c r="B9" s="101" t="s">
        <x:v>30</x:v>
      </x:c>
      <x:c r="C9" s="102" t="str">
        <x:f>C10</x:f>
      </x:c>
      <x:c r="D9" s="102" t="n">
        <x:f>D10</x:f>
      </x:c>
      <x:c r="E9" s="102" t="n">
        <x:f>E10</x:f>
      </x:c>
      <x:c r="F9" s="103" t="n">
        <x:f>F10</x:f>
      </x:c>
      <x:c r="G9" s="103" t="n">
        <x:f>G10</x:f>
      </x:c>
      <x:c r="H9" s="103" t="n">
        <x:f>H10</x:f>
      </x:c>
      <x:c r="I9" s="103" t="n">
        <x:f>I10</x:f>
      </x:c>
      <x:c r="J9" s="104" t="s"/>
    </x:row>
    <x:row r="10" spans="1:1025" s="71" customFormat="1" ht="15.75" customHeight="1" outlineLevel="0">
      <x:c r="A10" s="39" t="n">
        <x:v>1</x:v>
      </x:c>
      <x:c r="B10" s="54" t="s">
        <x:v>31</x:v>
      </x:c>
      <x:c r="C10" s="41" t="s">
        <x:v>29</x:v>
      </x:c>
      <x:c r="D10" s="42" t="n">
        <x:v>300</x:v>
      </x:c>
      <x:c r="E10" s="43" t="n">
        <x:v>350</x:v>
      </x:c>
      <x:c r="F10" s="43" t="n">
        <x:v>1</x:v>
      </x:c>
      <x:c r="G10" s="43" t="n">
        <x:v>1</x:v>
      </x:c>
      <x:c r="H10" s="43" t="n">
        <x:v>1</x:v>
      </x:c>
      <x:c r="I10" s="43" t="n">
        <x:v>0</x:v>
      </x:c>
      <x:c r="J10" s="54" t="s"/>
    </x:row>
    <x:row r="11" spans="1:1025" s="71" customFormat="1" ht="15.75" customHeight="1" outlineLevel="0">
      <x:c r="A11" s="29" t="s">
        <x:v>32</x:v>
      </x:c>
      <x:c r="B11" s="30" t="s">
        <x:v>33</x:v>
      </x:c>
      <x:c r="C11" s="105" t="s">
        <x:v>34</x:v>
      </x:c>
      <x:c r="D11" s="32" t="n">
        <x:v>28</x:v>
      </x:c>
      <x:c r="E11" s="43" t="n">
        <x:v>28</x:v>
      </x:c>
      <x:c r="F11" s="43" t="n">
        <x:v>10</x:v>
      </x:c>
      <x:c r="G11" s="43" t="n">
        <x:v>7</x:v>
      </x:c>
      <x:c r="H11" s="43" t="n">
        <x:v>2</x:v>
      </x:c>
      <x:c r="I11" s="43" t="n">
        <x:v>1</x:v>
      </x:c>
      <x:c r="J11" s="54" t="s"/>
    </x:row>
    <x:row r="12" spans="1:1025" s="71" customFormat="1" ht="15.75" customHeight="1" outlineLevel="0">
      <x:c r="A12" s="93" t="s">
        <x:v>13</x:v>
      </x:c>
      <x:c r="B12" s="94" t="s">
        <x:v>35</x:v>
      </x:c>
      <x:c r="C12" s="106" t="s">
        <x:v>36</x:v>
      </x:c>
      <x:c r="D12" s="95" t="n">
        <x:v>0</x:v>
      </x:c>
      <x:c r="E12" s="95" t="n">
        <x:v>0</x:v>
      </x:c>
      <x:c r="F12" s="96" t="n">
        <x:v>0</x:v>
      </x:c>
      <x:c r="G12" s="96" t="n">
        <x:v>0</x:v>
      </x:c>
      <x:c r="H12" s="96" t="n">
        <x:v>0</x:v>
      </x:c>
      <x:c r="I12" s="96" t="n">
        <x:v>0</x:v>
      </x:c>
      <x:c r="J12" s="94" t="s"/>
    </x:row>
    <x:row r="13" spans="1:1025" s="71" customFormat="1" ht="15.75" customHeight="1" outlineLevel="0">
      <x:c r="A13" s="93" t="s">
        <x:v>14</x:v>
      </x:c>
      <x:c r="B13" s="94" t="s">
        <x:v>37</x:v>
      </x:c>
      <x:c r="C13" s="106" t="n">
        <x:f>C14+C15+C18</x:f>
      </x:c>
      <x:c r="D13" s="96" t="n">
        <x:f>D14+D15+D18</x:f>
      </x:c>
      <x:c r="E13" s="96" t="n">
        <x:f>E14+E15+E18</x:f>
      </x:c>
      <x:c r="F13" s="96" t="n">
        <x:f>F14+F15+F18</x:f>
      </x:c>
      <x:c r="G13" s="96" t="n">
        <x:f>G14+G15+G18</x:f>
      </x:c>
      <x:c r="H13" s="96" t="n">
        <x:f>H14+H15+H18</x:f>
      </x:c>
      <x:c r="I13" s="96" t="n">
        <x:f>I14+I15+I18</x:f>
      </x:c>
      <x:c r="J13" s="94" t="s"/>
    </x:row>
    <x:row r="14" spans="1:1025" s="71" customFormat="1" ht="15.75" customHeight="1" outlineLevel="0">
      <x:c r="A14" s="39" t="n">
        <x:v>2</x:v>
      </x:c>
      <x:c r="B14" s="54" t="s">
        <x:v>38</x:v>
      </x:c>
      <x:c r="C14" s="41" t="s">
        <x:v>36</x:v>
      </x:c>
      <x:c r="D14" s="43" t="n">
        <x:v>0</x:v>
      </x:c>
      <x:c r="E14" s="43" t="n">
        <x:v>0</x:v>
      </x:c>
      <x:c r="F14" s="43" t="n">
        <x:v>0</x:v>
      </x:c>
      <x:c r="G14" s="43" t="n">
        <x:v>0</x:v>
      </x:c>
      <x:c r="H14" s="43" t="n">
        <x:v>1</x:v>
      </x:c>
      <x:c r="I14" s="43" t="n">
        <x:v>0</x:v>
      </x:c>
      <x:c r="J14" s="54" t="s"/>
    </x:row>
    <x:row r="15" spans="1:1025" s="71" customFormat="1" ht="15.75" customHeight="1" outlineLevel="0">
      <x:c r="A15" s="39" t="n">
        <x:v>3</x:v>
      </x:c>
      <x:c r="B15" s="54" t="s">
        <x:v>39</x:v>
      </x:c>
      <x:c r="C15" s="43" t="n">
        <x:f>C16+C17</x:f>
      </x:c>
      <x:c r="D15" s="43" t="n">
        <x:f>D16+D17</x:f>
      </x:c>
      <x:c r="E15" s="43" t="n">
        <x:f>E16+E17</x:f>
      </x:c>
      <x:c r="F15" s="43" t="n">
        <x:f>F16+F17</x:f>
      </x:c>
      <x:c r="G15" s="43" t="n">
        <x:f>G16+G17</x:f>
      </x:c>
      <x:c r="H15" s="43" t="n">
        <x:f>H16+H17</x:f>
      </x:c>
      <x:c r="I15" s="43" t="n">
        <x:f>I16+I17</x:f>
      </x:c>
      <x:c r="J15" s="54" t="s"/>
    </x:row>
    <x:row r="16" spans="1:1025" s="73" customFormat="1" ht="15.75" customHeight="1" outlineLevel="0">
      <x:c r="A16" s="107" t="s"/>
      <x:c r="B16" s="45" t="s">
        <x:v>40</x:v>
      </x:c>
      <x:c r="C16" s="108" t="s">
        <x:v>41</x:v>
      </x:c>
      <x:c r="D16" s="109" t="n">
        <x:v>12</x:v>
      </x:c>
      <x:c r="E16" s="109" t="n">
        <x:v>12</x:v>
      </x:c>
      <x:c r="F16" s="109" t="n">
        <x:v>1</x:v>
      </x:c>
      <x:c r="G16" s="109" t="n">
        <x:v>1</x:v>
      </x:c>
      <x:c r="H16" s="109" t="n">
        <x:v>0</x:v>
      </x:c>
      <x:c r="I16" s="109" t="n">
        <x:v>0</x:v>
      </x:c>
      <x:c r="J16" s="45" t="s"/>
    </x:row>
    <x:row r="17" spans="1:1025" s="73" customFormat="1" ht="15.75" customHeight="1" outlineLevel="0">
      <x:c r="A17" s="107" t="s"/>
      <x:c r="B17" s="45" t="s">
        <x:v>42</x:v>
      </x:c>
      <x:c r="C17" s="108" t="s">
        <x:v>43</x:v>
      </x:c>
      <x:c r="D17" s="109" t="n">
        <x:v>30</x:v>
      </x:c>
      <x:c r="E17" s="109" t="n">
        <x:v>30</x:v>
      </x:c>
      <x:c r="F17" s="109" t="n">
        <x:v>15</x:v>
      </x:c>
      <x:c r="G17" s="109" t="n">
        <x:v>13</x:v>
      </x:c>
      <x:c r="H17" s="109" t="n">
        <x:v>1</x:v>
      </x:c>
      <x:c r="I17" s="109" t="n">
        <x:v>1</x:v>
      </x:c>
      <x:c r="J17" s="45" t="s"/>
    </x:row>
    <x:row r="18" spans="1:1025" s="28" customFormat="1" ht="15.75" customHeight="1" outlineLevel="0">
      <x:c r="A18" s="39" t="n">
        <x:v>4</x:v>
      </x:c>
      <x:c r="B18" s="54" t="s">
        <x:v>44</x:v>
      </x:c>
      <x:c r="C18" s="43" t="n">
        <x:f>SUM(C19:C21)</x:f>
      </x:c>
      <x:c r="D18" s="43" t="n">
        <x:f>SUM(D19:D21)</x:f>
      </x:c>
      <x:c r="E18" s="43" t="n">
        <x:f>SUM(E19:E21)</x:f>
      </x:c>
      <x:c r="F18" s="43" t="n">
        <x:f>SUM(F19:F21)</x:f>
      </x:c>
      <x:c r="G18" s="43" t="n">
        <x:f>SUM(G19:G21)</x:f>
      </x:c>
      <x:c r="H18" s="43" t="n">
        <x:f>SUM(H19:H21)</x:f>
      </x:c>
      <x:c r="I18" s="43" t="n">
        <x:f>SUM(I19:I21)</x:f>
      </x:c>
      <x:c r="J18" s="54" t="s"/>
    </x:row>
    <x:row r="19" spans="1:1025" s="73" customFormat="1" ht="15.75" customHeight="1" outlineLevel="0">
      <x:c r="A19" s="107" t="s"/>
      <x:c r="B19" s="110" t="s">
        <x:v>45</x:v>
      </x:c>
      <x:c r="C19" s="111" t="n">
        <x:v>1</x:v>
      </x:c>
      <x:c r="D19" s="109" t="n">
        <x:v>0</x:v>
      </x:c>
      <x:c r="E19" s="109" t="n">
        <x:v>0</x:v>
      </x:c>
      <x:c r="F19" s="109" t="n">
        <x:v>1</x:v>
      </x:c>
      <x:c r="G19" s="109" t="n">
        <x:v>1</x:v>
      </x:c>
      <x:c r="H19" s="109" t="n">
        <x:v>1</x:v>
      </x:c>
      <x:c r="I19" s="109" t="n">
        <x:v>0</x:v>
      </x:c>
      <x:c r="J19" s="45" t="s"/>
    </x:row>
    <x:row r="20" spans="1:1025" s="73" customFormat="1" ht="15.75" customHeight="1" outlineLevel="0">
      <x:c r="A20" s="107" t="s"/>
      <x:c r="B20" s="110" t="s">
        <x:v>46</x:v>
      </x:c>
      <x:c r="C20" s="111" t="n">
        <x:v>1</x:v>
      </x:c>
      <x:c r="D20" s="109" t="n">
        <x:v>0</x:v>
      </x:c>
      <x:c r="E20" s="109" t="n">
        <x:v>0</x:v>
      </x:c>
      <x:c r="F20" s="109" t="n">
        <x:v>1</x:v>
      </x:c>
      <x:c r="G20" s="109" t="n">
        <x:v>1</x:v>
      </x:c>
      <x:c r="H20" s="109" t="n">
        <x:v>1</x:v>
      </x:c>
      <x:c r="I20" s="109" t="n">
        <x:v>0</x:v>
      </x:c>
      <x:c r="J20" s="45" t="s"/>
    </x:row>
    <x:row r="21" spans="1:1025" s="73" customFormat="1" ht="15.75" customHeight="1" outlineLevel="0">
      <x:c r="A21" s="107" t="s"/>
      <x:c r="B21" s="110" t="s">
        <x:v>47</x:v>
      </x:c>
      <x:c r="C21" s="111" t="n">
        <x:v>1</x:v>
      </x:c>
      <x:c r="D21" s="109" t="n">
        <x:v>0</x:v>
      </x:c>
      <x:c r="E21" s="109" t="n">
        <x:v>0</x:v>
      </x:c>
      <x:c r="F21" s="109" t="n">
        <x:v>1</x:v>
      </x:c>
      <x:c r="G21" s="109" t="n">
        <x:v>1</x:v>
      </x:c>
      <x:c r="H21" s="109" t="n">
        <x:v>1</x:v>
      </x:c>
      <x:c r="I21" s="109" t="n">
        <x:v>0</x:v>
      </x:c>
      <x:c r="J21" s="45" t="s"/>
    </x:row>
  </x:sheetData>
  <x:mergeCells count="7">
    <x:mergeCell ref="A1:A2"/>
    <x:mergeCell ref="B1:B2"/>
    <x:mergeCell ref="C1:C2"/>
    <x:mergeCell ref="D1:E1"/>
    <x:mergeCell ref="F1:F2"/>
    <x:mergeCell ref="G1:I1"/>
    <x:mergeCell ref="J1:J2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1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2006-09-16T00:00:00.0000000Z</dcterms:created>
  <dc:creator/>
  <dc:description/>
  <dc:language>en-US</dc:language>
  <lastModifiedBy/>
  <dcterms:modified xsi:type="dcterms:W3CDTF">2019-04-18T12:58:54.1319862Z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
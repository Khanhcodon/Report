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C5" i="1"/>
  <x:c r="D5" i="1"/>
  <x:c r="E5" i="1"/>
  <x:c r="F5" i="1"/>
  <x:c r="G5" i="1"/>
  <x:c r="H5" i="1"/>
  <x:c r="I5" i="1"/>
  <x:c r="J5" i="1"/>
  <x:c r="K5" i="1"/>
  <x:c r="L5" i="1"/>
  <x:c r="M5" i="1"/>
  <x:c r="C6" i="1"/>
  <x:c r="D6" i="1"/>
  <x:c r="E6" i="1"/>
  <x:c r="F6" i="1"/>
  <x:c r="G6" i="1"/>
  <x:c r="H6" i="1"/>
  <x:c r="I6" i="1"/>
  <x:c r="J6" i="1"/>
  <x:c r="K6" i="1"/>
  <x:c r="L6" i="1"/>
  <x:c r="M6" i="1"/>
  <x:c r="C7" i="1"/>
  <x:c r="D7" i="1"/>
  <x:c r="E7" i="1"/>
  <x:c r="F7" i="1"/>
  <x:c r="G7" i="1"/>
  <x:c r="H7" i="1"/>
  <x:c r="I7" i="1"/>
  <x:c r="J7" i="1"/>
  <x:c r="K7" i="1"/>
  <x:c r="L7" i="1"/>
  <x:c r="M7" i="1"/>
  <x:c r="C8" i="1"/>
  <x:c r="D8" i="1"/>
  <x:c r="G8" i="1"/>
  <x:c r="H15" i="1"/>
  <x:c r="I15" i="1"/>
  <x:c r="J15" i="1"/>
  <x:c r="L15" i="1"/>
  <x:c r="M15" i="1"/>
  <x:c r="C16" i="1"/>
  <x:c r="D16" i="1"/>
  <x:c r="E16" i="1"/>
  <x:c r="F16" i="1"/>
  <x:c r="G16" i="1"/>
  <x:c r="H16" i="1"/>
  <x:c r="I16" i="1"/>
  <x:c r="J16" i="1"/>
  <x:c r="K16" i="1"/>
  <x:c r="L16" i="1"/>
  <x:c r="M16" i="1"/>
  <x:c r="C17" i="1"/>
  <x:c r="D17" i="1"/>
  <x:c r="E17" i="1"/>
  <x:c r="F17" i="1"/>
  <x:c r="G17" i="1"/>
  <x:c r="H17" i="1"/>
  <x:c r="I17" i="1"/>
  <x:c r="J17" i="1"/>
  <x:c r="K17" i="1"/>
  <x:c r="L17" i="1"/>
  <x:c r="M17" i="1"/>
  <x:c r="C21" i="1"/>
  <x:c r="C32" i="1"/>
  <x:c r="D32" i="1"/>
  <x:c r="E32" i="1"/>
  <x:c r="F32" i="1"/>
  <x:c r="G32" i="1"/>
  <x:c r="H32" i="1"/>
  <x:c r="I32" i="1"/>
  <x:c r="J32" i="1"/>
  <x:c r="K32" i="1"/>
  <x:c r="L32" i="1"/>
  <x:c r="M32" i="1"/>
  <x:c r="C34" i="1"/>
  <x:c r="D34" i="1"/>
  <x:c r="E34" i="1"/>
  <x:c r="F34" i="1"/>
  <x:c r="G34" i="1"/>
  <x:c r="H34" i="1"/>
  <x:c r="I34" i="1"/>
  <x:c r="J34" i="1"/>
  <x:c r="K34" i="1"/>
  <x:c r="L34" i="1"/>
  <x:c r="M34" i="1"/>
  <x:c r="C49" i="1"/>
  <x:c r="D49" i="1"/>
  <x:c r="E49" i="1"/>
  <x:c r="F49" i="1"/>
  <x:c r="G49" i="1"/>
  <x:c r="H49" i="1"/>
  <x:c r="I49" i="1"/>
  <x:c r="J49" i="1"/>
  <x:c r="K49" i="1"/>
  <x:c r="L49" i="1"/>
  <x:c r="M49" i="1"/>
  <x:c r="C53" i="1"/>
  <x:c r="D53" i="1"/>
  <x:c r="E53" i="1"/>
  <x:c r="F53" i="1"/>
  <x:c r="G53" i="1"/>
  <x:c r="H53" i="1"/>
  <x:c r="I53" i="1"/>
  <x:c r="J53" i="1"/>
  <x:c r="K53" i="1"/>
  <x:c r="L53" i="1"/>
  <x:c r="M53" i="1"/>
  <x:c r="C54" i="1"/>
  <x:c r="D54" i="1"/>
  <x:c r="G54" i="1"/>
</x:calcChain>
</file>

<file path=xl/sharedStrings.xml><?xml version="1.0" encoding="utf-8"?>
<x:sst xmlns:x="http://schemas.openxmlformats.org/spreadsheetml/2006/main" count="55" uniqueCount="55">
  <x:si>
    <x:t>TT</x:t>
  </x:si>
  <x:si>
    <x:t>Cơ sở y tế</x:t>
  </x:si>
  <x:si>
    <x:t xml:space="preserve">Số lần khám bệnh </x:t>
  </x:si>
  <x:si>
    <x:t>Số lượt điều trị nội trú</x:t>
  </x:si>
  <x:si>
    <x:t>Tổng số ngày điều trị nội trú</x:t>
  </x:si>
  <x:si>
    <x:t>Tổng số</x:t>
  </x:si>
  <x:si>
    <x:t>Trong đó</x:t>
  </x:si>
  <x:si>
    <x:t xml:space="preserve">Nữ </x:t>
  </x:si>
  <x:si>
    <x:t>BHYT</x:t>
  </x:si>
  <x:si>
    <x:t>YHCT (kể cả kết hợp YHHĐ)</x:t>
  </x:si>
  <x:si>
    <x:t xml:space="preserve">TE&lt;15 tuổi </x:t>
  </x:si>
  <x:si>
    <x:t>TỔNG SỐ</x:t>
  </x:si>
  <x:si>
    <x:t>A</x:t>
  </x:si>
  <x:si>
    <x:t>Y tế công lập</x:t>
  </x:si>
  <x:si>
    <x:t>I</x:t>
  </x:si>
  <x:si>
    <x:t>Tuyến tỉnh</x:t>
  </x:si>
  <x:si>
    <x:t>BVĐK tỉnh Quảng Ninh</x:t>
  </x:si>
  <x:si>
    <x:t>BV ĐK Bãi Cháy</x:t>
  </x:si>
  <x:si>
    <x:t>BVĐKKV Cẩm Phả</x:t>
  </x:si>
  <x:si>
    <x:t>BV Sản Nhi</x:t>
  </x:si>
  <x:si>
    <x:t>BV Phục hồi Chức năng</x:t>
  </x:si>
  <x:si>
    <x:t>BVBV SK Tâm Thần</x:t>
  </x:si>
  <x:si>
    <x:t>BV Y Dược cổ truyền</x:t>
  </x:si>
  <x:si>
    <x:t>BV Lao và Phổi</x:t>
  </x:si>
  <x:si>
    <x:t>II</x:t>
  </x:si>
  <x:si>
    <x:t>Tuyến huyện</x:t>
  </x:si>
  <x:si>
    <x:t>Khối TTYT</x:t>
  </x:si>
  <x:si>
    <x:t>Đông Triều</x:t>
  </x:si>
  <x:si>
    <x:t>Uông Bí</x:t>
  </x:si>
  <x:si>
    <x:t>Quảng Yên</x:t>
  </x:si>
  <x:si>
    <x:t>Hoành Bồ</x:t>
  </x:si>
  <x:si>
    <x:t>Hạ Long</x:t>
  </x:si>
  <x:si>
    <x:t>Cẩm Phả (Cơ sở điều trị Methadone)</x:t>
  </x:si>
  <x:si>
    <x:t>Vân Đồn</x:t>
  </x:si>
  <x:si>
    <x:t>Cô Tô</x:t>
  </x:si>
  <x:si>
    <x:t>Ba Chẽ</x:t>
  </x:si>
  <x:si>
    <x:t>Bình Liêu</x:t>
  </x:si>
  <x:si>
    <x:t>Đầm Hà</x:t>
  </x:si>
  <x:si>
    <x:t>Hải Hà</x:t>
  </x:si>
  <x:si>
    <x:t>Tiên Yên</x:t>
  </x:si>
  <x:si>
    <x:t>Móng Cái</x:t>
  </x:si>
  <x:si>
    <x:t>Khối Bệnh viện</x:t>
  </x:si>
  <x:si>
    <x:t>Bệnh viện Đa khoa Cẩm Phả</x:t>
  </x:si>
  <x:si>
    <x:t>III</x:t>
  </x:si>
  <x:si>
    <x:t>Tuyến xã</x:t>
  </x:si>
  <x:si>
    <x:t>Cẩm Phả</x:t>
  </x:si>
  <x:si>
    <x:t>B</x:t>
  </x:si>
  <x:si>
    <x:t>Y tế tư nhân</x:t>
  </x:si>
  <x:si>
    <x:t>Bệnh viện tư nhân (Vinmec Hạ Long)</x:t>
  </x:si>
  <x:si>
    <x:t>PK&amp; NHS có giường</x:t>
  </x:si>
  <x:si>
    <x:t>Cơ sở không giường</x:t>
  </x:si>
  <x:si>
    <x:t>C</x:t>
  </x:si>
  <x:si>
    <x:t>Y tế Bộ, Ngành khác</x:t>
  </x:si>
  <x:si>
    <x:t>BV VN - TĐ Uông Bí</x:t>
  </x:si>
  <x:si>
    <x:t>TTYT than khu vực Mạo Khê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</x:si>
</x:sst>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#,##0"/>
    <x:numFmt numFmtId="166" formatCode="_(* #,##0.00_);_(* \(#,##0.00\);_(* \-??_);_(@_)"/>
  </x:numFmts>
  <x:fonts count="13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name val="Times New Roman"/>
      <x:family val="1"/>
      <x:charset val="163"/>
    </x:font>
    <x:font>
      <x:sz val="12"/>
      <x:name val="Times New Roman"/>
      <x:family val="1"/>
      <x:charset val="1"/>
    </x:font>
    <x:font>
      <x:i val="true"/>
      <x:sz val="12"/>
      <x:name val="Times New Roman"/>
      <x:family val="1"/>
      <x:charset val="1"/>
    </x:font>
    <x:font>
      <x:b val="true"/>
      <x:sz val="12"/>
      <x:name val="Times New Roman"/>
      <x:family val="1"/>
      <x:charset val="1"/>
    </x:font>
    <x:font>
      <x:b val="true"/>
      <x:i val="true"/>
      <x:sz val="12"/>
      <x:name val="Times New Roman"/>
      <x:family val="1"/>
      <x:charset val="1"/>
    </x:font>
    <x:font>
      <x:sz val="10"/>
      <x:name val="FreeSans"/>
      <x:family val="2"/>
      <x:charset val="1"/>
    </x:font>
    <x:font>
      <x:sz val="13"/>
      <x:name val="Times New Roman"/>
      <x:family val="1"/>
      <x:charset val="1"/>
    </x:font>
    <x:font>
      <x:sz val="10"/>
      <x:name val="Arial"/>
      <x:family val="2"/>
      <x:charset val="163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CCCCC"/>
        <x:bgColor rgb="FFCCCCFF"/>
      </x:patternFill>
    </x:fill>
  </x:fills>
  <x:borders count="17">
    <x:border diagonalUp="false" diagonalDown="false">
      <x:left/>
      <x:right/>
      <x:top/>
      <x:bottom/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/>
      <x:top style="thin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/>
      <x:top/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/>
      <x:bottom style="thin">
        <x:color rgb="FF333333"/>
      </x:bottom>
      <x:diagonal/>
    </x:border>
    <x:border diagonalUp="false" diagonalDown="false">
      <x:left/>
      <x:right/>
      <x:top style="thin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hair">
        <x:color rgb="FF333333"/>
      </x:top>
      <x:bottom style="hair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hair">
        <x:color rgb="FF333333"/>
      </x:top>
      <x:bottom/>
      <x:diagonal/>
    </x:border>
    <x:border diagonalUp="false" diagonalDown="false">
      <x:left style="thin">
        <x:color rgb="FF333333"/>
      </x:left>
      <x:right style="thin">
        <x:color rgb="FF333333"/>
      </x:right>
      <x:top/>
      <x:bottom style="hair">
        <x:color rgb="FF333333"/>
      </x:bottom>
      <x:diagonal/>
    </x:border>
    <x:border diagonalUp="false" diagonalDown="false">
      <x:left style="thin">
        <x:color rgb="FF333333"/>
      </x:left>
      <x:right/>
      <x:top style="hair">
        <x:color rgb="FF333333"/>
      </x:top>
      <x:bottom style="hair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hair">
        <x:color rgb="FF333333"/>
      </x:top>
      <x:bottom style="thin">
        <x:color rgb="FF333333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0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166" fontId="9" fillId="0" borderId="0" applyFont="true" applyBorder="false" applyAlignment="true" applyProtection="false">
      <x:alignment horizontal="general" vertical="bottom" textRotation="0" wrapText="false" indent="0" shrinkToFit="false"/>
    </x:xf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11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0" borderId="0" applyNumberFormat="1" applyFill="1" applyBorder="0" applyAlignment="1" applyProtection="1">
      <x:protection locked="1" hidden="0"/>
    </x:xf>
    <x:xf numFmtId="164" fontId="4" fillId="0" borderId="11" applyNumberFormat="1" applyFill="1" applyBorder="1" applyAlignment="1" applyProtection="1">
      <x:protection locked="1" hidden="0"/>
    </x:xf>
    <x:xf numFmtId="164" fontId="4" fillId="0" borderId="12" applyNumberFormat="1" applyFill="1" applyBorder="1" applyAlignment="1" applyProtection="1">
      <x:protection locked="1" hidden="0"/>
    </x:xf>
    <x:xf numFmtId="164" fontId="4" fillId="0" borderId="13" applyNumberFormat="1" applyFill="1" applyBorder="1" applyAlignment="1" applyProtection="1">
      <x:protection locked="1" hidden="0"/>
    </x:xf>
    <x:xf numFmtId="164" fontId="4" fillId="0" borderId="14" applyNumberFormat="1" applyFill="1" applyBorder="1" applyAlignment="1" applyProtection="1">
      <x:protection locked="1" hidden="0"/>
    </x:xf>
    <x:xf numFmtId="164" fontId="4" fillId="0" borderId="15" applyNumberFormat="1" applyFill="1" applyBorder="1" applyAlignment="1" applyProtection="1">
      <x:protection locked="1" hidden="0"/>
    </x:xf>
    <x:xf numFmtId="164" fontId="5" fillId="0" borderId="12" applyNumberFormat="1" applyFill="1" applyBorder="1" applyAlignment="1" applyProtection="1">
      <x:protection locked="1" hidden="0"/>
    </x:xf>
    <x:xf numFmtId="164" fontId="5" fillId="0" borderId="13" applyNumberFormat="1" applyFill="1" applyBorder="1" applyAlignment="1" applyProtection="1">
      <x:protection locked="1" hidden="0"/>
    </x:xf>
    <x:xf numFmtId="164" fontId="5" fillId="0" borderId="14" applyNumberFormat="1" applyFill="1" applyBorder="1" applyAlignment="1" applyProtection="1">
      <x:protection locked="1" hidden="0"/>
    </x:xf>
    <x:xf numFmtId="164" fontId="4" fillId="0" borderId="16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6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5" fontId="4" fillId="0" borderId="6" applyNumberFormat="1" applyFill="1" applyBorder="1" applyAlignment="1" applyProtection="1">
      <x:protection locked="1" hidden="0"/>
    </x:xf>
    <x:xf numFmtId="164" fontId="8" fillId="0" borderId="6" applyNumberFormat="1" applyFill="1" applyBorder="1" applyAlignment="1" applyProtection="1">
      <x:protection locked="1" hidden="0"/>
    </x:xf>
    <x:xf numFmtId="165" fontId="8" fillId="0" borderId="6" applyNumberFormat="1" applyFill="1" applyBorder="1" applyAlignment="1" applyProtection="1">
      <x:protection locked="1" hidden="0"/>
    </x:xf>
    <x:xf numFmtId="164" fontId="5" fillId="0" borderId="6" applyNumberFormat="1" applyFill="1" applyBorder="1" applyAlignment="1" applyProtection="1">
      <x:protection locked="1" hidden="0"/>
    </x:xf>
    <x:xf numFmtId="165" fontId="5" fillId="0" borderId="6" applyNumberFormat="1" applyFill="1" applyBorder="1" applyAlignment="1" applyProtection="1">
      <x:protection locked="1" hidden="0"/>
    </x:xf>
    <x:xf numFmtId="165" fontId="5" fillId="0" borderId="7" applyNumberFormat="1" applyFill="1" applyBorder="1" applyAlignment="1" applyProtection="1">
      <x:protection locked="1" hidden="0"/>
    </x:xf>
    <x:xf numFmtId="165" fontId="5" fillId="0" borderId="8" applyNumberFormat="1" applyFill="1" applyBorder="1" applyAlignment="1" applyProtection="1">
      <x:protection locked="1" hidden="0"/>
    </x:xf>
    <x:xf numFmtId="165" fontId="5" fillId="2" borderId="6" applyNumberFormat="1" applyFill="0" applyBorder="1" applyAlignment="1" applyProtection="1">
      <x:protection locked="1" hidden="0"/>
    </x:xf>
    <x:xf numFmtId="165" fontId="10" fillId="0" borderId="6" applyNumberFormat="1" applyFill="1" applyBorder="1" applyAlignment="1" applyProtection="1">
      <x:protection locked="1" hidden="0"/>
    </x:xf>
    <x:xf numFmtId="164" fontId="5" fillId="0" borderId="9" applyNumberFormat="1" applyFill="1" applyBorder="1" applyAlignment="1" applyProtection="1">
      <x:protection locked="1" hidden="0"/>
    </x:xf>
    <x:xf numFmtId="164" fontId="5" fillId="0" borderId="10" applyNumberFormat="1" applyFill="1" applyBorder="1" applyAlignment="1" applyProtection="1">
      <x:protection locked="1" hidden="0"/>
    </x:xf>
    <x:xf numFmtId="165" fontId="5" fillId="0" borderId="10" applyNumberFormat="1" applyFill="1" applyBorder="1" applyAlignment="1" applyProtection="1">
      <x:protection locked="1" hidden="0"/>
    </x:xf>
  </x:cellStyleXfs>
  <x:cellXfs count="53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6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5" fontId="7" fillId="0" borderId="6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7" fillId="0" borderId="6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7" fillId="0" borderId="6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7" fillId="0" borderId="6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8" fillId="0" borderId="6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8" fillId="0" borderId="6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8" fillId="0" borderId="6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5" fillId="0" borderId="6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5" fillId="0" borderId="6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5" fillId="0" borderId="7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5" fillId="0" borderId="6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5" fontId="5" fillId="0" borderId="6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5" fontId="5" fillId="0" borderId="8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5" fillId="0" borderId="6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5" fillId="0" borderId="6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5" fontId="5" fillId="2" borderId="6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5" fillId="0" borderId="6" xfId="0" applyFont="true" applyBorder="true" applyAlignment="true" applyProtection="true">
      <x:alignment horizontal="general" vertical="center" textRotation="0" wrapText="false" indent="0" shrinkToFit="false"/>
      <x:protection locked="true" hidden="false"/>
    </x:xf>
    <x:xf numFmtId="165" fontId="10" fillId="0" borderId="6" xfId="15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5" fontId="10" fillId="0" borderId="6" xfId="15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5" fontId="5" fillId="0" borderId="6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5" fillId="0" borderId="6" xfId="15" applyFont="true" applyBorder="true" applyAlignment="true" applyProtection="true">
      <x:alignment horizontal="general" vertical="center" textRotation="0" wrapText="false" indent="0" shrinkToFit="false"/>
      <x:protection locked="true" hidden="false"/>
    </x:xf>
    <x:xf numFmtId="165" fontId="5" fillId="0" borderId="6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6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5" fillId="0" borderId="9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5" fillId="0" borderId="10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5" fontId="5" fillId="0" borderId="10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1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4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4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5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7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  <x:cellStyle name="Excel Built-in Explanatory Text" xfId="20" builtinId="53" customBuiltin="tru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M55"/>
  <x:sheetViews>
    <x:sheetView windowProtection="false" tabSelected="1" defaultGridColor="true" topLeftCell="A1" colorId="64" workbookViewId="0">
      <x:selection activeCell="A1" sqref="A1"/>
    </x:sheetView>
  </x:sheetViews>
  <x:sheetFormatPr defaultRowHeight="12.8"/>
  <x:cols>
    <x:col min="1" max="1025" width="11.341837" style="37" customWidth="1"/>
  </x:cols>
  <x:sheetData>
    <x:row r="1" spans="1:1025" s="37" customFormat="1" ht="17" customHeight="1" outlineLevel="0">
      <x:c r="A1" s="38" t="s">
        <x:v>0</x:v>
      </x:c>
      <x:c r="B1" s="38" t="s">
        <x:v>1</x:v>
      </x:c>
      <x:c r="C1" s="39" t="s">
        <x:v>2</x:v>
      </x:c>
      <x:c r="D1" s="40" t="s"/>
      <x:c r="E1" s="40" t="s"/>
      <x:c r="F1" s="40" t="s"/>
      <x:c r="G1" s="41" t="s"/>
      <x:c r="H1" s="39" t="s">
        <x:v>3</x:v>
      </x:c>
      <x:c r="I1" s="40" t="s"/>
      <x:c r="J1" s="40" t="s"/>
      <x:c r="K1" s="40" t="s"/>
      <x:c r="L1" s="41" t="s"/>
      <x:c r="M1" s="38" t="s">
        <x:v>4</x:v>
      </x:c>
    </x:row>
    <x:row r="2" spans="1:1025" s="37" customFormat="1" ht="17" customHeight="1" outlineLevel="0">
      <x:c r="A2" s="42" t="s"/>
      <x:c r="B2" s="42" t="s"/>
      <x:c r="C2" s="38" t="s">
        <x:v>5</x:v>
      </x:c>
      <x:c r="D2" s="43" t="s">
        <x:v>6</x:v>
      </x:c>
      <x:c r="E2" s="44" t="s"/>
      <x:c r="F2" s="44" t="s"/>
      <x:c r="G2" s="45" t="s"/>
      <x:c r="H2" s="38" t="s">
        <x:v>5</x:v>
      </x:c>
      <x:c r="I2" s="43" t="s">
        <x:v>6</x:v>
      </x:c>
      <x:c r="J2" s="44" t="s"/>
      <x:c r="K2" s="44" t="s"/>
      <x:c r="L2" s="45" t="s"/>
      <x:c r="M2" s="42" t="s"/>
    </x:row>
    <x:row r="3" spans="1:1025" s="37" customFormat="1" ht="41.2" customHeight="1" outlineLevel="0">
      <x:c r="A3" s="46" t="s"/>
      <x:c r="B3" s="46" t="s"/>
      <x:c r="C3" s="46" t="s"/>
      <x:c r="D3" s="4" t="s">
        <x:v>7</x:v>
      </x:c>
      <x:c r="E3" s="4" t="s">
        <x:v>8</x:v>
      </x:c>
      <x:c r="F3" s="4" t="s">
        <x:v>9</x:v>
      </x:c>
      <x:c r="G3" s="3" t="s">
        <x:v>10</x:v>
      </x:c>
      <x:c r="H3" s="46" t="s"/>
      <x:c r="I3" s="4" t="s">
        <x:v>7</x:v>
      </x:c>
      <x:c r="J3" s="5" t="s">
        <x:v>8</x:v>
      </x:c>
      <x:c r="K3" s="4" t="s">
        <x:v>9</x:v>
      </x:c>
      <x:c r="L3" s="6" t="s">
        <x:v>10</x:v>
      </x:c>
      <x:c r="M3" s="46" t="s"/>
    </x:row>
    <x:row r="4" spans="1:1025" s="37" customFormat="1" ht="17" customHeight="1" outlineLevel="0">
      <x:c r="A4" s="7" t="n">
        <x:v>1</x:v>
      </x:c>
      <x:c r="B4" s="8" t="n">
        <x:v>2</x:v>
      </x:c>
      <x:c r="C4" s="9" t="n">
        <x:v>3</x:v>
      </x:c>
      <x:c r="D4" s="8" t="n">
        <x:v>4</x:v>
      </x:c>
      <x:c r="E4" s="9" t="n">
        <x:v>5</x:v>
      </x:c>
      <x:c r="F4" s="9" t="n">
        <x:v>6</x:v>
      </x:c>
      <x:c r="G4" s="9" t="n">
        <x:v>7</x:v>
      </x:c>
      <x:c r="H4" s="9" t="n">
        <x:v>8</x:v>
      </x:c>
      <x:c r="I4" s="8" t="n">
        <x:v>9</x:v>
      </x:c>
      <x:c r="J4" s="9" t="n">
        <x:v>10</x:v>
      </x:c>
      <x:c r="K4" s="8" t="n">
        <x:v>11</x:v>
      </x:c>
      <x:c r="L4" s="9" t="n">
        <x:v>12</x:v>
      </x:c>
      <x:c r="M4" s="9" t="n">
        <x:v>13</x:v>
      </x:c>
    </x:row>
    <x:row r="5" spans="1:1025" s="37" customFormat="1" ht="17" customHeight="1" outlineLevel="0">
      <x:c r="A5" s="47" t="s"/>
      <x:c r="B5" s="47" t="s">
        <x:v>11</x:v>
      </x:c>
      <x:c r="C5" s="48" t="n">
        <x:f>C6+C49+C53</x:f>
      </x:c>
      <x:c r="D5" s="48" t="n">
        <x:f>D6+D49+D53</x:f>
      </x:c>
      <x:c r="E5" s="48" t="n">
        <x:f>E6+E49+E53</x:f>
      </x:c>
      <x:c r="F5" s="48" t="n">
        <x:f>F6+F49+F53</x:f>
      </x:c>
      <x:c r="G5" s="48" t="n">
        <x:f>G6+G49+G53</x:f>
      </x:c>
      <x:c r="H5" s="48" t="n">
        <x:f>H6+H49+H53</x:f>
      </x:c>
      <x:c r="I5" s="48" t="n">
        <x:f>I6+I49+I53</x:f>
      </x:c>
      <x:c r="J5" s="48" t="n">
        <x:f>J6+J49+J53</x:f>
      </x:c>
      <x:c r="K5" s="48" t="n">
        <x:f>K6+K49+K53</x:f>
      </x:c>
      <x:c r="L5" s="48" t="n">
        <x:f>L6+L49+L53</x:f>
      </x:c>
      <x:c r="M5" s="48" t="n">
        <x:f>M6+M49+M53</x:f>
      </x:c>
    </x:row>
    <x:row r="6" spans="1:1025" s="37" customFormat="1" ht="17" customHeight="1" outlineLevel="0">
      <x:c r="A6" s="49" t="s">
        <x:v>12</x:v>
      </x:c>
      <x:c r="B6" s="50" t="s">
        <x:v>13</x:v>
      </x:c>
      <x:c r="C6" s="51" t="n">
        <x:f>C7+C16+C34</x:f>
      </x:c>
      <x:c r="D6" s="51" t="n">
        <x:f>D7+D16+D34</x:f>
      </x:c>
      <x:c r="E6" s="51" t="n">
        <x:f>E7+E16+E34</x:f>
      </x:c>
      <x:c r="F6" s="51" t="n">
        <x:f>F7+F16+F34</x:f>
      </x:c>
      <x:c r="G6" s="51" t="n">
        <x:f>G7+G16+G34</x:f>
      </x:c>
      <x:c r="H6" s="51" t="n">
        <x:f>H7+H16+H34</x:f>
      </x:c>
      <x:c r="I6" s="51" t="n">
        <x:f>I7+I16+I34</x:f>
      </x:c>
      <x:c r="J6" s="51" t="n">
        <x:f>J7+J16+J34</x:f>
      </x:c>
      <x:c r="K6" s="51" t="n">
        <x:f>K7+K16+K34</x:f>
      </x:c>
      <x:c r="L6" s="51" t="n">
        <x:f>L7+L16+L34</x:f>
      </x:c>
      <x:c r="M6" s="51" t="n">
        <x:f>M7+M16+M34</x:f>
      </x:c>
    </x:row>
    <x:row r="7" spans="1:1025" s="37" customFormat="1" ht="17" customHeight="1" outlineLevel="0">
      <x:c r="A7" s="15" t="s">
        <x:v>14</x:v>
      </x:c>
      <x:c r="B7" s="16" t="s">
        <x:v>15</x:v>
      </x:c>
      <x:c r="C7" s="17" t="n">
        <x:f>SUM(C8:C15)</x:f>
      </x:c>
      <x:c r="D7" s="17" t="n">
        <x:f>SUM(D8:D15)</x:f>
      </x:c>
      <x:c r="E7" s="17" t="n">
        <x:f>SUM(E8:E15)</x:f>
      </x:c>
      <x:c r="F7" s="17" t="n">
        <x:f>SUM(F8:F15)</x:f>
      </x:c>
      <x:c r="G7" s="17" t="n">
        <x:f>SUM(G8:G15)</x:f>
      </x:c>
      <x:c r="H7" s="17" t="n">
        <x:f>SUM(H8:H15)</x:f>
      </x:c>
      <x:c r="I7" s="17" t="n">
        <x:f>SUM(I8:I15)</x:f>
      </x:c>
      <x:c r="J7" s="17" t="n">
        <x:f>SUM(J8:J15)</x:f>
      </x:c>
      <x:c r="K7" s="17" t="n">
        <x:f>SUM(K8:K15)</x:f>
      </x:c>
      <x:c r="L7" s="17" t="n">
        <x:f>SUM(L8:L15)</x:f>
      </x:c>
      <x:c r="M7" s="17" t="n">
        <x:f>SUM(M8:M15)</x:f>
      </x:c>
    </x:row>
    <x:row r="8" spans="1:1025" s="37" customFormat="1" ht="17" customHeight="1" outlineLevel="0">
      <x:c r="A8" s="18" t="n">
        <x:v>1</x:v>
      </x:c>
      <x:c r="B8" s="19" t="s">
        <x:v>16</x:v>
      </x:c>
      <x:c r="C8" s="20" t="n">
        <x:f>348892-18117-7722</x:f>
      </x:c>
      <x:c r="D8" s="20" t="n">
        <x:f>187876-12128-3528</x:f>
      </x:c>
      <x:c r="E8" s="20" t="n">
        <x:v>245475</x:v>
      </x:c>
      <x:c r="F8" s="20" t="n">
        <x:v>24133</x:v>
      </x:c>
      <x:c r="G8" s="20" t="n">
        <x:f>45274-1269</x:f>
      </x:c>
      <x:c r="H8" s="20" t="n">
        <x:v>45749</x:v>
      </x:c>
      <x:c r="I8" s="20" t="n">
        <x:v>22432</x:v>
      </x:c>
      <x:c r="J8" s="20" t="n">
        <x:v>43447</x:v>
      </x:c>
      <x:c r="K8" s="20" t="n">
        <x:v>5725</x:v>
      </x:c>
      <x:c r="L8" s="20" t="n">
        <x:v>7358</x:v>
      </x:c>
      <x:c r="M8" s="20" t="n">
        <x:v>344352</x:v>
      </x:c>
    </x:row>
    <x:row r="9" spans="1:1025" s="37" customFormat="1" ht="17" customHeight="1" outlineLevel="0">
      <x:c r="A9" s="18" t="n">
        <x:v>2</x:v>
      </x:c>
      <x:c r="B9" s="19" t="s">
        <x:v>17</x:v>
      </x:c>
      <x:c r="C9" s="21" t="n">
        <x:v>321965</x:v>
      </x:c>
      <x:c r="D9" s="21" t="n">
        <x:v>170582</x:v>
      </x:c>
      <x:c r="E9" s="21" t="n">
        <x:v>229837</x:v>
      </x:c>
      <x:c r="F9" s="21" t="n">
        <x:v>27723</x:v>
      </x:c>
      <x:c r="G9" s="21" t="n">
        <x:v>42387</x:v>
      </x:c>
      <x:c r="H9" s="21" t="n">
        <x:v>42346</x:v>
      </x:c>
      <x:c r="I9" s="21" t="n">
        <x:v>21119</x:v>
      </x:c>
      <x:c r="J9" s="21" t="n">
        <x:v>39210</x:v>
      </x:c>
      <x:c r="K9" s="21" t="n">
        <x:v>6547</x:v>
      </x:c>
      <x:c r="L9" s="21" t="n">
        <x:v>7922</x:v>
      </x:c>
      <x:c r="M9" s="21" t="n">
        <x:v>315603</x:v>
      </x:c>
    </x:row>
    <x:row r="10" spans="1:1025" s="37" customFormat="1" ht="17" customHeight="1" outlineLevel="0">
      <x:c r="A10" s="18" t="n">
        <x:v>3</x:v>
      </x:c>
      <x:c r="B10" s="22" t="s">
        <x:v>18</x:v>
      </x:c>
      <x:c r="C10" s="23" t="n">
        <x:v>149673</x:v>
      </x:c>
      <x:c r="D10" s="23" t="n">
        <x:v>77650</x:v>
      </x:c>
      <x:c r="E10" s="23" t="n">
        <x:v>133110</x:v>
      </x:c>
      <x:c r="F10" s="23" t="n">
        <x:v>10264</x:v>
      </x:c>
      <x:c r="G10" s="23" t="n">
        <x:v>20418</x:v>
      </x:c>
      <x:c r="H10" s="23" t="n">
        <x:v>28338</x:v>
      </x:c>
      <x:c r="I10" s="23" t="n">
        <x:v>12491</x:v>
      </x:c>
      <x:c r="J10" s="23" t="n">
        <x:v>27446</x:v>
      </x:c>
      <x:c r="K10" s="23" t="n">
        <x:v>3471</x:v>
      </x:c>
      <x:c r="L10" s="23" t="n">
        <x:v>5023</x:v>
      </x:c>
      <x:c r="M10" s="23" t="n">
        <x:v>195590</x:v>
      </x:c>
    </x:row>
    <x:row r="11" spans="1:1025" s="37" customFormat="1" ht="17" customHeight="1" outlineLevel="0">
      <x:c r="A11" s="18" t="n">
        <x:v>4</x:v>
      </x:c>
      <x:c r="B11" s="24" t="s">
        <x:v>19</x:v>
      </x:c>
      <x:c r="C11" s="23" t="n">
        <x:v>196853</x:v>
      </x:c>
      <x:c r="D11" s="23" t="n">
        <x:v>114591</x:v>
      </x:c>
      <x:c r="E11" s="23" t="n">
        <x:v>40425</x:v>
      </x:c>
      <x:c r="F11" s="23" t="s"/>
      <x:c r="G11" s="23" t="n">
        <x:v>100987</x:v>
      </x:c>
      <x:c r="H11" s="19" t="n">
        <x:v>25742</x:v>
      </x:c>
      <x:c r="I11" s="19" t="n">
        <x:v>17549</x:v>
      </x:c>
      <x:c r="J11" s="19" t="n">
        <x:v>24036</x:v>
      </x:c>
      <x:c r="K11" s="19" t="s"/>
      <x:c r="L11" s="19" t="n">
        <x:v>11156</x:v>
      </x:c>
      <x:c r="M11" s="19" t="n">
        <x:v>152131</x:v>
      </x:c>
    </x:row>
    <x:row r="12" spans="1:1025" s="37" customFormat="1" ht="17" customHeight="1" outlineLevel="0">
      <x:c r="A12" s="18" t="n">
        <x:v>5</x:v>
      </x:c>
      <x:c r="B12" s="19" t="s">
        <x:v>20</x:v>
      </x:c>
      <x:c r="C12" s="19" t="n">
        <x:v>2951</x:v>
      </x:c>
      <x:c r="D12" s="19" t="n">
        <x:v>1044</x:v>
      </x:c>
      <x:c r="E12" s="19" t="n">
        <x:v>2853</x:v>
      </x:c>
      <x:c r="F12" s="19" t="n">
        <x:v>2951</x:v>
      </x:c>
      <x:c r="G12" s="19" t="n">
        <x:v>251</x:v>
      </x:c>
      <x:c r="H12" s="19" t="n">
        <x:v>2863</x:v>
      </x:c>
      <x:c r="I12" s="19" t="n">
        <x:v>1015</x:v>
      </x:c>
      <x:c r="J12" s="19" t="n">
        <x:v>2839</x:v>
      </x:c>
      <x:c r="K12" s="19" t="n">
        <x:v>2863</x:v>
      </x:c>
      <x:c r="L12" s="19" t="n">
        <x:v>243</x:v>
      </x:c>
      <x:c r="M12" s="19" t="n">
        <x:v>59976</x:v>
      </x:c>
    </x:row>
    <x:row r="13" spans="1:1025" s="37" customFormat="1" ht="17" customHeight="1" outlineLevel="0">
      <x:c r="A13" s="18" t="n">
        <x:v>6</x:v>
      </x:c>
      <x:c r="B13" s="19" t="s">
        <x:v>21</x:v>
      </x:c>
      <x:c r="C13" s="20" t="n">
        <x:v>18528</x:v>
      </x:c>
      <x:c r="D13" s="20" t="s"/>
      <x:c r="E13" s="20" t="n">
        <x:v>16014</x:v>
      </x:c>
      <x:c r="F13" s="20" t="s"/>
      <x:c r="G13" s="20" t="s"/>
      <x:c r="H13" s="20" t="n">
        <x:v>4255</x:v>
      </x:c>
      <x:c r="I13" s="20" t="n">
        <x:v>897</x:v>
      </x:c>
      <x:c r="J13" s="20" t="n">
        <x:v>3937</x:v>
      </x:c>
      <x:c r="K13" s="20" t="s"/>
      <x:c r="L13" s="20" t="n">
        <x:v>16</x:v>
      </x:c>
      <x:c r="M13" s="20" t="n">
        <x:v>128825</x:v>
      </x:c>
    </x:row>
    <x:row r="14" spans="1:1025" s="37" customFormat="1" ht="17" customHeight="1" outlineLevel="0">
      <x:c r="A14" s="18" t="n">
        <x:v>7</x:v>
      </x:c>
      <x:c r="B14" s="19" t="s">
        <x:v>22</x:v>
      </x:c>
      <x:c r="C14" s="19" t="n">
        <x:v>8471</x:v>
      </x:c>
      <x:c r="D14" s="19" t="n">
        <x:v>4543</x:v>
      </x:c>
      <x:c r="E14" s="19" t="n">
        <x:v>7967</x:v>
      </x:c>
      <x:c r="F14" s="19" t="n">
        <x:v>8471</x:v>
      </x:c>
      <x:c r="G14" s="19" t="n">
        <x:v>60</x:v>
      </x:c>
      <x:c r="H14" s="19" t="n">
        <x:v>7725</x:v>
      </x:c>
      <x:c r="I14" s="19" t="n">
        <x:v>4176</x:v>
      </x:c>
      <x:c r="J14" s="19" t="n">
        <x:v>7698</x:v>
      </x:c>
      <x:c r="K14" s="19" t="n">
        <x:v>7725</x:v>
      </x:c>
      <x:c r="L14" s="19" t="n">
        <x:v>41</x:v>
      </x:c>
      <x:c r="M14" s="19" t="n">
        <x:v>149523</x:v>
      </x:c>
    </x:row>
    <x:row r="15" spans="1:1025" s="37" customFormat="1" ht="17" customHeight="1" outlineLevel="0">
      <x:c r="A15" s="18" t="n">
        <x:v>8</x:v>
      </x:c>
      <x:c r="B15" s="19" t="s">
        <x:v>23</x:v>
      </x:c>
      <x:c r="C15" s="25" t="n">
        <x:v>19633</x:v>
      </x:c>
      <x:c r="D15" s="25" t="n">
        <x:v>7606</x:v>
      </x:c>
      <x:c r="E15" s="25" t="n">
        <x:v>12924</x:v>
      </x:c>
      <x:c r="F15" s="25" t="s"/>
      <x:c r="G15" s="25" t="n">
        <x:v>738</x:v>
      </x:c>
      <x:c r="H15" s="19" t="n">
        <x:f>1414+1084+1280+1221+1536</x:f>
      </x:c>
      <x:c r="I15" s="19" t="n">
        <x:f>467+485+434+502+678</x:f>
      </x:c>
      <x:c r="J15" s="19" t="n">
        <x:f>1337+1067+1239+1195+1518</x:f>
      </x:c>
      <x:c r="K15" s="19" t="s"/>
      <x:c r="L15" s="19" t="n">
        <x:f>19+27+36+8+29</x:f>
      </x:c>
      <x:c r="M15" s="19" t="n">
        <x:f>15307+14158+18800+17483+19161</x:f>
      </x:c>
    </x:row>
    <x:row r="16" spans="1:1025" s="37" customFormat="1" ht="17" customHeight="1" outlineLevel="0">
      <x:c r="A16" s="15" t="s">
        <x:v>24</x:v>
      </x:c>
      <x:c r="B16" s="16" t="s">
        <x:v>25</x:v>
      </x:c>
      <x:c r="C16" s="17" t="n">
        <x:f>C17+C32</x:f>
      </x:c>
      <x:c r="D16" s="17" t="n">
        <x:f>D17+D32</x:f>
      </x:c>
      <x:c r="E16" s="17" t="n">
        <x:f>E17+E32</x:f>
      </x:c>
      <x:c r="F16" s="17" t="n">
        <x:f>F17+F32</x:f>
      </x:c>
      <x:c r="G16" s="17" t="n">
        <x:f>G17+G32</x:f>
      </x:c>
      <x:c r="H16" s="17" t="n">
        <x:f>H17+H32</x:f>
      </x:c>
      <x:c r="I16" s="17" t="n">
        <x:f>I17+I32</x:f>
      </x:c>
      <x:c r="J16" s="17" t="n">
        <x:f>J17+J32</x:f>
      </x:c>
      <x:c r="K16" s="17" t="n">
        <x:f>K17+K32</x:f>
      </x:c>
      <x:c r="L16" s="17" t="n">
        <x:f>L17+L32</x:f>
      </x:c>
      <x:c r="M16" s="17" t="n">
        <x:f>M17+M32</x:f>
      </x:c>
    </x:row>
    <x:row r="17" spans="1:1025" s="37" customFormat="1" ht="17" customHeight="1" outlineLevel="0">
      <x:c r="A17" s="15" t="s"/>
      <x:c r="B17" s="16" t="s">
        <x:v>26</x:v>
      </x:c>
      <x:c r="C17" s="17" t="n">
        <x:f>SUM(C18:C31)</x:f>
      </x:c>
      <x:c r="D17" s="17" t="n">
        <x:f>SUM(D18:D31)</x:f>
      </x:c>
      <x:c r="E17" s="17" t="n">
        <x:f>SUM(E18:E31)</x:f>
      </x:c>
      <x:c r="F17" s="17" t="n">
        <x:f>SUM(F18:F31)</x:f>
      </x:c>
      <x:c r="G17" s="17" t="n">
        <x:f>SUM(G18:G31)</x:f>
      </x:c>
      <x:c r="H17" s="17" t="n">
        <x:f>SUM(H18:H31)</x:f>
      </x:c>
      <x:c r="I17" s="17" t="n">
        <x:f>SUM(I18:I31)</x:f>
      </x:c>
      <x:c r="J17" s="17" t="n">
        <x:f>SUM(J18:J31)</x:f>
      </x:c>
      <x:c r="K17" s="17" t="n">
        <x:f>SUM(K18:K31)</x:f>
      </x:c>
      <x:c r="L17" s="17" t="n">
        <x:f>SUM(L18:L31)</x:f>
      </x:c>
      <x:c r="M17" s="17" t="n">
        <x:f>SUM(M18:M31)</x:f>
      </x:c>
    </x:row>
    <x:row r="18" spans="1:1025" s="37" customFormat="1" ht="17" customHeight="1" outlineLevel="0">
      <x:c r="A18" s="18" t="n">
        <x:v>1</x:v>
      </x:c>
      <x:c r="B18" s="19" t="s">
        <x:v>27</x:v>
      </x:c>
      <x:c r="C18" s="19" t="n">
        <x:v>161922</x:v>
      </x:c>
      <x:c r="D18" s="19" t="n">
        <x:v>81458</x:v>
      </x:c>
      <x:c r="E18" s="19" t="n">
        <x:v>148910</x:v>
      </x:c>
      <x:c r="F18" s="19" t="n">
        <x:v>97153</x:v>
      </x:c>
      <x:c r="G18" s="19" t="n">
        <x:v>18560</x:v>
      </x:c>
      <x:c r="H18" s="19" t="n">
        <x:v>23715</x:v>
      </x:c>
      <x:c r="I18" s="19" t="n">
        <x:v>11840</x:v>
      </x:c>
      <x:c r="J18" s="19" t="n">
        <x:v>22811</x:v>
      </x:c>
      <x:c r="K18" s="19" t="n">
        <x:v>3703</x:v>
      </x:c>
      <x:c r="L18" s="19" t="n">
        <x:v>6466</x:v>
      </x:c>
      <x:c r="M18" s="19" t="n">
        <x:v>145187</x:v>
      </x:c>
    </x:row>
    <x:row r="19" spans="1:1025" s="37" customFormat="1" ht="17" customHeight="1" outlineLevel="0">
      <x:c r="A19" s="18" t="n">
        <x:v>2</x:v>
      </x:c>
      <x:c r="B19" s="19" t="s">
        <x:v>28</x:v>
      </x:c>
      <x:c r="C19" s="19" t="n">
        <x:v>95459</x:v>
      </x:c>
      <x:c r="D19" s="19" t="n">
        <x:v>58293</x:v>
      </x:c>
      <x:c r="E19" s="19" t="n">
        <x:v>92903</x:v>
      </x:c>
      <x:c r="F19" s="19" t="n">
        <x:v>59767</x:v>
      </x:c>
      <x:c r="G19" s="19" t="n">
        <x:v>12046</x:v>
      </x:c>
      <x:c r="H19" s="52" t="s"/>
      <x:c r="I19" s="52" t="s"/>
      <x:c r="J19" s="52" t="s"/>
      <x:c r="K19" s="52" t="s"/>
      <x:c r="L19" s="52" t="s"/>
      <x:c r="M19" s="52" t="s"/>
    </x:row>
    <x:row r="20" spans="1:1025" s="37" customFormat="1" ht="17" customHeight="1" outlineLevel="0">
      <x:c r="A20" s="18" t="n">
        <x:v>3</x:v>
      </x:c>
      <x:c r="B20" s="19" t="s">
        <x:v>29</x:v>
      </x:c>
      <x:c r="C20" s="19" t="n">
        <x:v>155481</x:v>
      </x:c>
      <x:c r="D20" s="19" t="n">
        <x:v>86828</x:v>
      </x:c>
      <x:c r="E20" s="19" t="n">
        <x:v>142927</x:v>
      </x:c>
      <x:c r="F20" s="19" t="n">
        <x:v>9665</x:v>
      </x:c>
      <x:c r="G20" s="19" t="n">
        <x:v>20576</x:v>
      </x:c>
      <x:c r="H20" s="19" t="n">
        <x:v>26901</x:v>
      </x:c>
      <x:c r="I20" s="19" t="n">
        <x:v>13742</x:v>
      </x:c>
      <x:c r="J20" s="19" t="n">
        <x:v>25908</x:v>
      </x:c>
      <x:c r="K20" s="19" t="n">
        <x:v>1168</x:v>
      </x:c>
      <x:c r="L20" s="19" t="n">
        <x:v>5755</x:v>
      </x:c>
      <x:c r="M20" s="19" t="n">
        <x:v>149874</x:v>
      </x:c>
    </x:row>
    <x:row r="21" spans="1:1025" s="37" customFormat="1" ht="17" customHeight="1" outlineLevel="0">
      <x:c r="A21" s="18" t="n">
        <x:v>4</x:v>
      </x:c>
      <x:c r="B21" s="19" t="s">
        <x:v>30</x:v>
      </x:c>
      <x:c r="C21" s="19" t="n">
        <x:f>57792-11319</x:f>
      </x:c>
      <x:c r="D21" s="19" t="n">
        <x:v>26806</x:v>
      </x:c>
      <x:c r="E21" s="19" t="n">
        <x:v>38954</x:v>
      </x:c>
      <x:c r="F21" s="19" t="s"/>
      <x:c r="G21" s="19" t="n">
        <x:v>8458</x:v>
      </x:c>
      <x:c r="H21" s="19" t="n">
        <x:v>12580</x:v>
      </x:c>
      <x:c r="I21" s="19" t="n">
        <x:v>6694</x:v>
      </x:c>
      <x:c r="J21" s="19" t="n">
        <x:v>12308</x:v>
      </x:c>
      <x:c r="K21" s="19" t="s"/>
      <x:c r="L21" s="19" t="n">
        <x:v>2789</x:v>
      </x:c>
      <x:c r="M21" s="19" t="n">
        <x:v>102078</x:v>
      </x:c>
    </x:row>
    <x:row r="22" spans="1:1025" s="37" customFormat="1" ht="17" customHeight="1" outlineLevel="0">
      <x:c r="A22" s="18" t="n">
        <x:v>5</x:v>
      </x:c>
      <x:c r="B22" s="19" t="s">
        <x:v>31</x:v>
      </x:c>
      <x:c r="C22" s="19" t="n">
        <x:v>83115</x:v>
      </x:c>
      <x:c r="D22" s="19" t="n">
        <x:v>45806</x:v>
      </x:c>
      <x:c r="E22" s="19" t="n">
        <x:v>73202</x:v>
      </x:c>
      <x:c r="F22" s="19" t="n">
        <x:v>2407</x:v>
      </x:c>
      <x:c r="G22" s="19" t="n">
        <x:v>6639</x:v>
      </x:c>
      <x:c r="H22" s="52" t="s"/>
      <x:c r="I22" s="52" t="s"/>
      <x:c r="J22" s="52" t="s"/>
      <x:c r="K22" s="52" t="s"/>
      <x:c r="L22" s="52" t="s"/>
      <x:c r="M22" s="52" t="s"/>
    </x:row>
    <x:row r="23" spans="1:1025" s="37" customFormat="1" ht="17" customHeight="1" outlineLevel="0">
      <x:c r="A23" s="18" t="n">
        <x:v>6</x:v>
      </x:c>
      <x:c r="B23" s="19" t="s">
        <x:v>32</x:v>
      </x:c>
      <x:c r="C23" s="19" t="n">
        <x:v>5388</x:v>
      </x:c>
      <x:c r="D23" s="19" t="n">
        <x:v>115</x:v>
      </x:c>
      <x:c r="E23" s="19" t="s"/>
      <x:c r="F23" s="19" t="s"/>
      <x:c r="G23" s="19" t="s"/>
      <x:c r="H23" s="52" t="s"/>
      <x:c r="I23" s="52" t="s"/>
      <x:c r="J23" s="52" t="s"/>
      <x:c r="K23" s="52" t="s"/>
      <x:c r="L23" s="52" t="s"/>
      <x:c r="M23" s="52" t="s"/>
    </x:row>
    <x:row r="24" spans="1:1025" s="37" customFormat="1" ht="18.15" customHeight="1" outlineLevel="0">
      <x:c r="A24" s="18" t="n">
        <x:v>7</x:v>
      </x:c>
      <x:c r="B24" s="19" t="s">
        <x:v>33</x:v>
      </x:c>
      <x:c r="C24" s="19" t="n">
        <x:v>50976</x:v>
      </x:c>
      <x:c r="D24" s="28" t="n">
        <x:v>21458</x:v>
      </x:c>
      <x:c r="E24" s="19" t="n">
        <x:v>46442</x:v>
      </x:c>
      <x:c r="F24" s="19" t="n">
        <x:v>1563</x:v>
      </x:c>
      <x:c r="G24" s="29" t="n">
        <x:v>6197</x:v>
      </x:c>
      <x:c r="H24" s="19" t="n">
        <x:v>8673</x:v>
      </x:c>
      <x:c r="I24" s="19" t="n">
        <x:v>4457</x:v>
      </x:c>
      <x:c r="J24" s="19" t="n">
        <x:v>8229</x:v>
      </x:c>
      <x:c r="K24" s="19" t="s"/>
      <x:c r="L24" s="19" t="n">
        <x:v>2035</x:v>
      </x:c>
      <x:c r="M24" s="19" t="n">
        <x:v>57336</x:v>
      </x:c>
    </x:row>
    <x:row r="25" spans="1:1025" s="37" customFormat="1" ht="17" customHeight="1" outlineLevel="0">
      <x:c r="A25" s="18" t="n">
        <x:v>8</x:v>
      </x:c>
      <x:c r="B25" s="19" t="s">
        <x:v>34</x:v>
      </x:c>
      <x:c r="C25" s="19" t="n">
        <x:v>9104</x:v>
      </x:c>
      <x:c r="D25" s="19" t="n">
        <x:v>3934</x:v>
      </x:c>
      <x:c r="E25" s="19" t="n">
        <x:v>6956</x:v>
      </x:c>
      <x:c r="F25" s="19" t="n">
        <x:v>0</x:v>
      </x:c>
      <x:c r="G25" s="19" t="n">
        <x:v>1939</x:v>
      </x:c>
      <x:c r="H25" s="19" t="n">
        <x:v>1601</x:v>
      </x:c>
      <x:c r="I25" s="19" t="n">
        <x:v>845</x:v>
      </x:c>
      <x:c r="J25" s="19" t="n">
        <x:v>1487</x:v>
      </x:c>
      <x:c r="K25" s="19" t="n">
        <x:v>167</x:v>
      </x:c>
      <x:c r="L25" s="19" t="n">
        <x:v>436</x:v>
      </x:c>
      <x:c r="M25" s="19" t="n">
        <x:v>8911</x:v>
      </x:c>
    </x:row>
    <x:row r="26" spans="1:1025" s="37" customFormat="1" ht="17" customHeight="1" outlineLevel="0">
      <x:c r="A26" s="18" t="n">
        <x:v>9</x:v>
      </x:c>
      <x:c r="B26" s="19" t="s">
        <x:v>35</x:v>
      </x:c>
      <x:c r="C26" s="19" t="n">
        <x:v>18017</x:v>
      </x:c>
      <x:c r="D26" s="19" t="n">
        <x:v>11118</x:v>
      </x:c>
      <x:c r="E26" s="19" t="n">
        <x:v>17280</x:v>
      </x:c>
      <x:c r="F26" s="19" t="n">
        <x:v>2280</x:v>
      </x:c>
      <x:c r="G26" s="19" t="n">
        <x:v>3500</x:v>
      </x:c>
      <x:c r="H26" s="19" t="n">
        <x:v>4516</x:v>
      </x:c>
      <x:c r="I26" s="19" t="n">
        <x:v>2476</x:v>
      </x:c>
      <x:c r="J26" s="19" t="n">
        <x:v>4271</x:v>
      </x:c>
      <x:c r="K26" s="19" t="n">
        <x:v>2036</x:v>
      </x:c>
      <x:c r="L26" s="19" t="n">
        <x:v>1031</x:v>
      </x:c>
      <x:c r="M26" s="19" t="n">
        <x:v>26252</x:v>
      </x:c>
    </x:row>
    <x:row r="27" spans="1:1025" s="37" customFormat="1" ht="17" customHeight="1" outlineLevel="0">
      <x:c r="A27" s="18" t="n">
        <x:v>10</x:v>
      </x:c>
      <x:c r="B27" s="19" t="s">
        <x:v>36</x:v>
      </x:c>
      <x:c r="C27" s="19" t="n">
        <x:v>31488</x:v>
      </x:c>
      <x:c r="D27" s="19" t="n">
        <x:v>2365</x:v>
      </x:c>
      <x:c r="E27" s="19" t="n">
        <x:v>25022</x:v>
      </x:c>
      <x:c r="F27" s="19" t="s"/>
      <x:c r="G27" s="19" t="s"/>
      <x:c r="H27" s="19" t="n">
        <x:v>5009</x:v>
      </x:c>
      <x:c r="I27" s="19" t="s"/>
      <x:c r="J27" s="19" t="n">
        <x:v>11777</x:v>
      </x:c>
      <x:c r="K27" s="19" t="s"/>
      <x:c r="L27" s="19" t="n">
        <x:v>293</x:v>
      </x:c>
      <x:c r="M27" s="19" t="n">
        <x:v>32862</x:v>
      </x:c>
    </x:row>
    <x:row r="28" spans="1:1025" s="37" customFormat="1" ht="17" customHeight="1" outlineLevel="0">
      <x:c r="A28" s="18" t="n">
        <x:v>11</x:v>
      </x:c>
      <x:c r="B28" s="19" t="s">
        <x:v>37</x:v>
      </x:c>
      <x:c r="C28" s="19" t="n">
        <x:v>35760</x:v>
      </x:c>
      <x:c r="D28" s="19" t="n">
        <x:v>19552</x:v>
      </x:c>
      <x:c r="E28" s="19" t="n">
        <x:v>33575</x:v>
      </x:c>
      <x:c r="F28" s="19" t="n">
        <x:v>14882</x:v>
      </x:c>
      <x:c r="G28" s="19" t="n">
        <x:v>6522</x:v>
      </x:c>
      <x:c r="H28" s="19" t="n">
        <x:v>6708</x:v>
      </x:c>
      <x:c r="I28" s="19" t="n">
        <x:v>3895</x:v>
      </x:c>
      <x:c r="J28" s="19" t="n">
        <x:v>6551</x:v>
      </x:c>
      <x:c r="K28" s="19" t="n">
        <x:v>714</x:v>
      </x:c>
      <x:c r="L28" s="19" t="n">
        <x:v>1529</x:v>
      </x:c>
      <x:c r="M28" s="19" t="n">
        <x:v>41526</x:v>
      </x:c>
    </x:row>
    <x:row r="29" spans="1:1025" s="37" customFormat="1" ht="17" customHeight="1" outlineLevel="0">
      <x:c r="A29" s="18" t="n">
        <x:v>12</x:v>
      </x:c>
      <x:c r="B29" s="19" t="s">
        <x:v>38</x:v>
      </x:c>
      <x:c r="C29" s="19" t="n">
        <x:v>53789</x:v>
      </x:c>
      <x:c r="D29" s="19" t="n">
        <x:v>29531</x:v>
      </x:c>
      <x:c r="E29" s="19" t="n">
        <x:v>44019</x:v>
      </x:c>
      <x:c r="F29" s="19" t="s"/>
      <x:c r="G29" s="19" t="n">
        <x:v>10932</x:v>
      </x:c>
      <x:c r="H29" s="19" t="n">
        <x:v>11528</x:v>
      </x:c>
      <x:c r="I29" s="19" t="n">
        <x:v>6375</x:v>
      </x:c>
      <x:c r="J29" s="19" t="n">
        <x:v>10233</x:v>
      </x:c>
      <x:c r="K29" s="19" t="n">
        <x:v>7435</x:v>
      </x:c>
      <x:c r="L29" s="19" t="n">
        <x:v>3004</x:v>
      </x:c>
      <x:c r="M29" s="19" t="n">
        <x:v>65244</x:v>
      </x:c>
    </x:row>
    <x:row r="30" spans="1:1025" s="37" customFormat="1" ht="17" customHeight="1" outlineLevel="0">
      <x:c r="A30" s="18" t="n">
        <x:v>13</x:v>
      </x:c>
      <x:c r="B30" s="19" t="s">
        <x:v>39</x:v>
      </x:c>
      <x:c r="C30" s="19" t="n">
        <x:v>50656</x:v>
      </x:c>
      <x:c r="D30" s="19" t="n">
        <x:v>25680</x:v>
      </x:c>
      <x:c r="E30" s="19" t="n">
        <x:v>41415</x:v>
      </x:c>
      <x:c r="F30" s="19" t="n">
        <x:v>135</x:v>
      </x:c>
      <x:c r="G30" s="19" t="n">
        <x:v>16223</x:v>
      </x:c>
      <x:c r="H30" s="19" t="n">
        <x:v>13307</x:v>
      </x:c>
      <x:c r="I30" s="19" t="n">
        <x:v>6619</x:v>
      </x:c>
      <x:c r="J30" s="19" t="n">
        <x:v>12209</x:v>
      </x:c>
      <x:c r="K30" s="19" t="n">
        <x:v>554</x:v>
      </x:c>
      <x:c r="L30" s="19" t="n">
        <x:v>4026</x:v>
      </x:c>
      <x:c r="M30" s="19" t="n">
        <x:v>63448</x:v>
      </x:c>
    </x:row>
    <x:row r="31" spans="1:1025" s="37" customFormat="1" ht="17" customHeight="1" outlineLevel="0">
      <x:c r="A31" s="18" t="n">
        <x:v>14</x:v>
      </x:c>
      <x:c r="B31" s="19" t="s">
        <x:v>40</x:v>
      </x:c>
      <x:c r="C31" s="19" t="n">
        <x:v>92737</x:v>
      </x:c>
      <x:c r="D31" s="19" t="n">
        <x:v>54047</x:v>
      </x:c>
      <x:c r="E31" s="19" t="n">
        <x:v>75988</x:v>
      </x:c>
      <x:c r="F31" s="19" t="n">
        <x:v>1967</x:v>
      </x:c>
      <x:c r="G31" s="19" t="n">
        <x:v>19586</x:v>
      </x:c>
      <x:c r="H31" s="19" t="n">
        <x:v>13872</x:v>
      </x:c>
      <x:c r="I31" s="19" t="n">
        <x:v>7938</x:v>
      </x:c>
      <x:c r="J31" s="19" t="n">
        <x:v>12143</x:v>
      </x:c>
      <x:c r="K31" s="19" t="n">
        <x:v>1039</x:v>
      </x:c>
      <x:c r="L31" s="19" t="n">
        <x:v>3442</x:v>
      </x:c>
      <x:c r="M31" s="19" t="n">
        <x:v>88628</x:v>
      </x:c>
    </x:row>
    <x:row r="32" spans="1:1025" s="37" customFormat="1" ht="17" customHeight="1" outlineLevel="0">
      <x:c r="A32" s="15" t="s"/>
      <x:c r="B32" s="17" t="s">
        <x:v>41</x:v>
      </x:c>
      <x:c r="C32" s="17" t="n">
        <x:f>C33</x:f>
      </x:c>
      <x:c r="D32" s="17" t="n">
        <x:f>D33</x:f>
      </x:c>
      <x:c r="E32" s="17" t="n">
        <x:f>E33</x:f>
      </x:c>
      <x:c r="F32" s="17" t="n">
        <x:f>F33</x:f>
      </x:c>
      <x:c r="G32" s="17" t="n">
        <x:f>G33</x:f>
      </x:c>
      <x:c r="H32" s="17" t="n">
        <x:f>H33</x:f>
      </x:c>
      <x:c r="I32" s="17" t="n">
        <x:f>I33</x:f>
      </x:c>
      <x:c r="J32" s="17" t="n">
        <x:f>J33</x:f>
      </x:c>
      <x:c r="K32" s="17" t="n">
        <x:f>K33</x:f>
      </x:c>
      <x:c r="L32" s="17" t="n">
        <x:f>L33</x:f>
      </x:c>
      <x:c r="M32" s="17" t="n">
        <x:f>M33</x:f>
      </x:c>
    </x:row>
    <x:row r="33" spans="1:1025" s="37" customFormat="1" ht="17" customHeight="1" outlineLevel="0">
      <x:c r="A33" s="18" t="s"/>
      <x:c r="B33" s="19" t="s">
        <x:v>42</x:v>
      </x:c>
      <x:c r="C33" s="19" t="n">
        <x:v>144136</x:v>
      </x:c>
      <x:c r="D33" s="19" t="n">
        <x:v>74212</x:v>
      </x:c>
      <x:c r="E33" s="19" t="n">
        <x:v>134780</x:v>
      </x:c>
      <x:c r="F33" s="19" t="n">
        <x:v>49364</x:v>
      </x:c>
      <x:c r="G33" s="19" t="n">
        <x:v>15026</x:v>
      </x:c>
      <x:c r="H33" s="19" t="n">
        <x:v>17045</x:v>
      </x:c>
      <x:c r="I33" s="19" t="n">
        <x:v>7915</x:v>
      </x:c>
      <x:c r="J33" s="19" t="n">
        <x:v>16192</x:v>
      </x:c>
      <x:c r="K33" s="19" t="n">
        <x:v>8162</x:v>
      </x:c>
      <x:c r="L33" s="19" t="n">
        <x:v>3063</x:v>
      </x:c>
      <x:c r="M33" s="19" t="n">
        <x:v>124070</x:v>
      </x:c>
    </x:row>
    <x:row r="34" spans="1:1025" s="37" customFormat="1" ht="17" customHeight="1" outlineLevel="0">
      <x:c r="A34" s="15" t="s">
        <x:v>43</x:v>
      </x:c>
      <x:c r="B34" s="17" t="s">
        <x:v>44</x:v>
      </x:c>
      <x:c r="C34" s="17" t="n">
        <x:f>SUM(C35:C48)</x:f>
      </x:c>
      <x:c r="D34" s="17" t="n">
        <x:f>SUM(D35:D48)</x:f>
      </x:c>
      <x:c r="E34" s="17" t="n">
        <x:f>SUM(E35:E48)</x:f>
      </x:c>
      <x:c r="F34" s="17" t="n">
        <x:f>SUM(F35:F48)</x:f>
      </x:c>
      <x:c r="G34" s="17" t="n">
        <x:f>SUM(G35:G48)</x:f>
      </x:c>
      <x:c r="H34" s="17" t="n">
        <x:f>SUM(H35:H48)</x:f>
      </x:c>
      <x:c r="I34" s="17" t="n">
        <x:f>SUM(I35:I48)</x:f>
      </x:c>
      <x:c r="J34" s="17" t="n">
        <x:f>SUM(J35:J48)</x:f>
      </x:c>
      <x:c r="K34" s="17" t="n">
        <x:f>SUM(K35:K48)</x:f>
      </x:c>
      <x:c r="L34" s="17" t="n">
        <x:f>SUM(L35:L48)</x:f>
      </x:c>
      <x:c r="M34" s="17" t="n">
        <x:f>SUM(M35:M48)</x:f>
      </x:c>
    </x:row>
    <x:row r="35" spans="1:1025" s="37" customFormat="1" ht="17" customHeight="1" outlineLevel="0">
      <x:c r="A35" s="18" t="n">
        <x:v>1</x:v>
      </x:c>
      <x:c r="B35" s="19" t="s">
        <x:v>27</x:v>
      </x:c>
      <x:c r="C35" s="19" t="n">
        <x:v>98546</x:v>
      </x:c>
      <x:c r="D35" s="19" t="n">
        <x:v>43883</x:v>
      </x:c>
      <x:c r="E35" s="19" t="n">
        <x:v>65909</x:v>
      </x:c>
      <x:c r="F35" s="19" t="n">
        <x:v>28839</x:v>
      </x:c>
      <x:c r="G35" s="19" t="n">
        <x:v>19084</x:v>
      </x:c>
      <x:c r="H35" s="52" t="s"/>
      <x:c r="I35" s="52" t="s"/>
      <x:c r="J35" s="52" t="s"/>
      <x:c r="K35" s="52" t="s"/>
      <x:c r="L35" s="52" t="s"/>
      <x:c r="M35" s="52" t="s"/>
    </x:row>
    <x:row r="36" spans="1:1025" s="37" customFormat="1" ht="17" customHeight="1" outlineLevel="0">
      <x:c r="A36" s="18" t="n">
        <x:v>2</x:v>
      </x:c>
      <x:c r="B36" s="19" t="s">
        <x:v>28</x:v>
      </x:c>
      <x:c r="C36" s="19" t="n">
        <x:v>31392</x:v>
      </x:c>
      <x:c r="D36" s="19" t="n">
        <x:v>18539</x:v>
      </x:c>
      <x:c r="E36" s="19" t="n">
        <x:v>28848</x:v>
      </x:c>
      <x:c r="F36" s="19" t="n">
        <x:v>17740</x:v>
      </x:c>
      <x:c r="G36" s="19" t="n">
        <x:v>10405</x:v>
      </x:c>
      <x:c r="H36" s="52" t="s"/>
      <x:c r="I36" s="52" t="s"/>
      <x:c r="J36" s="52" t="s"/>
      <x:c r="K36" s="52" t="s"/>
      <x:c r="L36" s="52" t="s"/>
      <x:c r="M36" s="52" t="s"/>
    </x:row>
    <x:row r="37" spans="1:1025" s="37" customFormat="1" ht="17" customHeight="1" outlineLevel="0">
      <x:c r="A37" s="18" t="n">
        <x:v>3</x:v>
      </x:c>
      <x:c r="B37" s="19" t="s">
        <x:v>29</x:v>
      </x:c>
      <x:c r="C37" s="19" t="n">
        <x:v>64267</x:v>
      </x:c>
      <x:c r="D37" s="19" t="n">
        <x:v>29034</x:v>
      </x:c>
      <x:c r="E37" s="19" t="n">
        <x:v>31161</x:v>
      </x:c>
      <x:c r="F37" s="19" t="n">
        <x:v>13175</x:v>
      </x:c>
      <x:c r="G37" s="19" t="n">
        <x:v>13821</x:v>
      </x:c>
      <x:c r="H37" s="52" t="s"/>
      <x:c r="I37" s="52" t="s"/>
      <x:c r="J37" s="52" t="s"/>
      <x:c r="K37" s="52" t="s"/>
      <x:c r="L37" s="52" t="s"/>
      <x:c r="M37" s="52" t="s"/>
    </x:row>
    <x:row r="38" spans="1:1025" s="37" customFormat="1" ht="17" customHeight="1" outlineLevel="0">
      <x:c r="A38" s="18" t="n">
        <x:v>4</x:v>
      </x:c>
      <x:c r="B38" s="19" t="s">
        <x:v>30</x:v>
      </x:c>
      <x:c r="C38" s="19" t="n">
        <x:v>29189</x:v>
      </x:c>
      <x:c r="D38" s="19" t="n">
        <x:v>14139</x:v>
      </x:c>
      <x:c r="E38" s="19" t="n">
        <x:v>16830</x:v>
      </x:c>
      <x:c r="F38" s="19" t="n">
        <x:v>11777</x:v>
      </x:c>
      <x:c r="G38" s="19" t="n">
        <x:v>5808</x:v>
      </x:c>
      <x:c r="H38" s="52" t="s"/>
      <x:c r="I38" s="52" t="s"/>
      <x:c r="J38" s="52" t="s"/>
      <x:c r="K38" s="52" t="s"/>
      <x:c r="L38" s="52" t="s"/>
      <x:c r="M38" s="52" t="s"/>
    </x:row>
    <x:row r="39" spans="1:1025" s="37" customFormat="1" ht="17" customHeight="1" outlineLevel="0">
      <x:c r="A39" s="18" t="n">
        <x:v>5</x:v>
      </x:c>
      <x:c r="B39" s="19" t="s">
        <x:v>31</x:v>
      </x:c>
      <x:c r="C39" s="19" t="n">
        <x:v>96221</x:v>
      </x:c>
      <x:c r="D39" s="19" t="n">
        <x:v>25395</x:v>
      </x:c>
      <x:c r="E39" s="19" t="n">
        <x:v>88919</x:v>
      </x:c>
      <x:c r="F39" s="19" t="n">
        <x:v>16677</x:v>
      </x:c>
      <x:c r="G39" s="19" t="n">
        <x:v>18921</x:v>
      </x:c>
      <x:c r="H39" s="52" t="s"/>
      <x:c r="I39" s="52" t="s"/>
      <x:c r="J39" s="52" t="s"/>
      <x:c r="K39" s="52" t="s"/>
      <x:c r="L39" s="52" t="s"/>
      <x:c r="M39" s="52" t="s"/>
    </x:row>
    <x:row r="40" spans="1:1025" s="37" customFormat="1" ht="17" customHeight="1" outlineLevel="0">
      <x:c r="A40" s="18" t="n">
        <x:v>6</x:v>
      </x:c>
      <x:c r="B40" s="19" t="s">
        <x:v>45</x:v>
      </x:c>
      <x:c r="C40" s="19" t="n">
        <x:v>88770</x:v>
      </x:c>
      <x:c r="D40" s="19" t="n">
        <x:v>50030</x:v>
      </x:c>
      <x:c r="E40" s="19" t="n">
        <x:v>77663</x:v>
      </x:c>
      <x:c r="F40" s="19" t="n">
        <x:v>32544</x:v>
      </x:c>
      <x:c r="G40" s="19" t="n">
        <x:v>6980</x:v>
      </x:c>
      <x:c r="H40" s="52" t="s"/>
      <x:c r="I40" s="52" t="s"/>
      <x:c r="J40" s="52" t="s"/>
      <x:c r="K40" s="52" t="s"/>
      <x:c r="L40" s="52" t="s"/>
      <x:c r="M40" s="52" t="s"/>
    </x:row>
    <x:row r="41" spans="1:1025" s="37" customFormat="1" ht="17" customHeight="1" outlineLevel="0">
      <x:c r="A41" s="18" t="n">
        <x:v>7</x:v>
      </x:c>
      <x:c r="B41" s="19" t="s">
        <x:v>33</x:v>
      </x:c>
      <x:c r="C41" s="19" t="n">
        <x:v>20155</x:v>
      </x:c>
      <x:c r="D41" s="19" t="n">
        <x:v>11290</x:v>
      </x:c>
      <x:c r="E41" s="19" t="n">
        <x:v>13203</x:v>
      </x:c>
      <x:c r="F41" s="19" t="n">
        <x:v>7164</x:v>
      </x:c>
      <x:c r="G41" s="19" t="n">
        <x:v>1576</x:v>
      </x:c>
      <x:c r="H41" s="52" t="s"/>
      <x:c r="I41" s="52" t="s"/>
      <x:c r="J41" s="52" t="s"/>
      <x:c r="K41" s="52" t="s"/>
      <x:c r="L41" s="52" t="s"/>
      <x:c r="M41" s="52" t="s"/>
    </x:row>
    <x:row r="42" spans="1:1025" s="37" customFormat="1" ht="17" customHeight="1" outlineLevel="0">
      <x:c r="A42" s="18" t="n">
        <x:v>8</x:v>
      </x:c>
      <x:c r="B42" s="19" t="s">
        <x:v>34</x:v>
      </x:c>
      <x:c r="C42" s="19" t="n">
        <x:v>2446</x:v>
      </x:c>
      <x:c r="D42" s="19" t="n">
        <x:v>1352</x:v>
      </x:c>
      <x:c r="E42" s="19" t="n">
        <x:v>1720</x:v>
      </x:c>
      <x:c r="F42" s="19" t="n">
        <x:v>0</x:v>
      </x:c>
      <x:c r="G42" s="19" t="n">
        <x:v>726</x:v>
      </x:c>
      <x:c r="H42" s="52" t="s"/>
      <x:c r="I42" s="52" t="s"/>
      <x:c r="J42" s="52" t="s"/>
      <x:c r="K42" s="52" t="s"/>
      <x:c r="L42" s="52" t="s"/>
      <x:c r="M42" s="52" t="s"/>
    </x:row>
    <x:row r="43" spans="1:1025" s="37" customFormat="1" ht="17" customHeight="1" outlineLevel="0">
      <x:c r="A43" s="18" t="n">
        <x:v>9</x:v>
      </x:c>
      <x:c r="B43" s="19" t="s">
        <x:v>35</x:v>
      </x:c>
      <x:c r="C43" s="19" t="n">
        <x:v>17159</x:v>
      </x:c>
      <x:c r="D43" s="19" t="n">
        <x:v>8983</x:v>
      </x:c>
      <x:c r="E43" s="19" t="n">
        <x:v>15073</x:v>
      </x:c>
      <x:c r="F43" s="19" t="n">
        <x:v>5843</x:v>
      </x:c>
      <x:c r="G43" s="19" t="n">
        <x:v>3737</x:v>
      </x:c>
      <x:c r="H43" s="52" t="s"/>
      <x:c r="I43" s="52" t="s"/>
      <x:c r="J43" s="52" t="s"/>
      <x:c r="K43" s="52" t="s"/>
      <x:c r="L43" s="52" t="s"/>
      <x:c r="M43" s="52" t="s"/>
    </x:row>
    <x:row r="44" spans="1:1025" s="37" customFormat="1" ht="17" customHeight="1" outlineLevel="0">
      <x:c r="A44" s="18" t="n">
        <x:v>10</x:v>
      </x:c>
      <x:c r="B44" s="19" t="s">
        <x:v>36</x:v>
      </x:c>
      <x:c r="C44" s="19" t="n">
        <x:v>31554</x:v>
      </x:c>
      <x:c r="D44" s="19" t="n">
        <x:v>7376</x:v>
      </x:c>
      <x:c r="E44" s="19" t="n">
        <x:v>17591</x:v>
      </x:c>
      <x:c r="F44" s="19" t="n">
        <x:v>6243</x:v>
      </x:c>
      <x:c r="G44" s="19" t="n">
        <x:v>4832</x:v>
      </x:c>
      <x:c r="H44" s="52" t="s"/>
      <x:c r="I44" s="52" t="s"/>
      <x:c r="J44" s="52" t="s"/>
      <x:c r="K44" s="52" t="s"/>
      <x:c r="L44" s="52" t="s"/>
      <x:c r="M44" s="52" t="s"/>
    </x:row>
    <x:row r="45" spans="1:1025" s="37" customFormat="1" ht="17" customHeight="1" outlineLevel="0">
      <x:c r="A45" s="18" t="n">
        <x:v>11</x:v>
      </x:c>
      <x:c r="B45" s="19" t="s">
        <x:v>37</x:v>
      </x:c>
      <x:c r="C45" s="19" t="n">
        <x:v>22913</x:v>
      </x:c>
      <x:c r="D45" s="32" t="n">
        <x:v>11327</x:v>
      </x:c>
      <x:c r="E45" s="32" t="n">
        <x:v>20058</x:v>
      </x:c>
      <x:c r="F45" s="32" t="n">
        <x:v>14629</x:v>
      </x:c>
      <x:c r="G45" s="32" t="n">
        <x:v>5551</x:v>
      </x:c>
      <x:c r="H45" s="52" t="s"/>
      <x:c r="I45" s="52" t="s"/>
      <x:c r="J45" s="52" t="s"/>
      <x:c r="K45" s="52" t="s"/>
      <x:c r="L45" s="52" t="s"/>
      <x:c r="M45" s="52" t="s"/>
    </x:row>
    <x:row r="46" spans="1:1025" s="37" customFormat="1" ht="17" customHeight="1" outlineLevel="0">
      <x:c r="A46" s="18" t="n">
        <x:v>12</x:v>
      </x:c>
      <x:c r="B46" s="19" t="s">
        <x:v>38</x:v>
      </x:c>
      <x:c r="C46" s="19" t="n">
        <x:v>37391</x:v>
      </x:c>
      <x:c r="D46" s="19" t="n">
        <x:v>16525</x:v>
      </x:c>
      <x:c r="E46" s="19" t="n">
        <x:v>25259</x:v>
      </x:c>
      <x:c r="F46" s="19" t="n">
        <x:v>11821</x:v>
      </x:c>
      <x:c r="G46" s="19" t="n">
        <x:v>6107</x:v>
      </x:c>
      <x:c r="H46" s="52" t="s"/>
      <x:c r="I46" s="52" t="s"/>
      <x:c r="J46" s="52" t="s"/>
      <x:c r="K46" s="52" t="s"/>
      <x:c r="L46" s="52" t="s"/>
      <x:c r="M46" s="52" t="s"/>
    </x:row>
    <x:row r="47" spans="1:1025" s="37" customFormat="1" ht="17" customHeight="1" outlineLevel="0">
      <x:c r="A47" s="18" t="n">
        <x:v>13</x:v>
      </x:c>
      <x:c r="B47" s="19" t="s">
        <x:v>39</x:v>
      </x:c>
      <x:c r="C47" s="19" t="n">
        <x:v>34068</x:v>
      </x:c>
      <x:c r="D47" s="19" t="n">
        <x:v>14998</x:v>
      </x:c>
      <x:c r="E47" s="19" t="n">
        <x:v>30174</x:v>
      </x:c>
      <x:c r="F47" s="19" t="n">
        <x:v>12760</x:v>
      </x:c>
      <x:c r="G47" s="19" t="n">
        <x:v>10138</x:v>
      </x:c>
      <x:c r="H47" s="52" t="s"/>
      <x:c r="I47" s="52" t="s"/>
      <x:c r="J47" s="52" t="s"/>
      <x:c r="K47" s="52" t="s"/>
      <x:c r="L47" s="52" t="s"/>
      <x:c r="M47" s="52" t="s"/>
    </x:row>
    <x:row r="48" spans="1:1025" s="37" customFormat="1" ht="17" customHeight="1" outlineLevel="0">
      <x:c r="A48" s="18" t="n">
        <x:v>14</x:v>
      </x:c>
      <x:c r="B48" s="19" t="s">
        <x:v>40</x:v>
      </x:c>
      <x:c r="C48" s="19" t="n">
        <x:v>37983</x:v>
      </x:c>
      <x:c r="D48" s="19" t="n">
        <x:v>20010</x:v>
      </x:c>
      <x:c r="E48" s="19" t="n">
        <x:v>20087</x:v>
      </x:c>
      <x:c r="F48" s="19" t="n">
        <x:v>11747</x:v>
      </x:c>
      <x:c r="G48" s="19" t="n">
        <x:v>11042</x:v>
      </x:c>
      <x:c r="H48" s="52" t="s"/>
      <x:c r="I48" s="52" t="s"/>
      <x:c r="J48" s="52" t="s"/>
      <x:c r="K48" s="52" t="s"/>
      <x:c r="L48" s="52" t="s"/>
      <x:c r="M48" s="52" t="s"/>
    </x:row>
    <x:row r="49" spans="1:1025" s="37" customFormat="1" ht="17" customHeight="1" outlineLevel="0">
      <x:c r="A49" s="49" t="s">
        <x:v>46</x:v>
      </x:c>
      <x:c r="B49" s="50" t="s">
        <x:v>47</x:v>
      </x:c>
      <x:c r="C49" s="51" t="n">
        <x:f>SUM(C50:C52)</x:f>
      </x:c>
      <x:c r="D49" s="51" t="n">
        <x:f>SUM(D50:D52)</x:f>
      </x:c>
      <x:c r="E49" s="51" t="n">
        <x:f>SUM(E50:E52)</x:f>
      </x:c>
      <x:c r="F49" s="51" t="n">
        <x:f>SUM(F50:F52)</x:f>
      </x:c>
      <x:c r="G49" s="51" t="n">
        <x:f>SUM(G50:G52)</x:f>
      </x:c>
      <x:c r="H49" s="51" t="n">
        <x:f>SUM(H50:H52)</x:f>
      </x:c>
      <x:c r="I49" s="51" t="n">
        <x:f>SUM(I50:I52)</x:f>
      </x:c>
      <x:c r="J49" s="51" t="n">
        <x:f>SUM(J50:J52)</x:f>
      </x:c>
      <x:c r="K49" s="51" t="n">
        <x:f>SUM(K50:K52)</x:f>
      </x:c>
      <x:c r="L49" s="51" t="n">
        <x:f>SUM(L50:L52)</x:f>
      </x:c>
      <x:c r="M49" s="51" t="n">
        <x:f>SUM(M50:M52)</x:f>
      </x:c>
    </x:row>
    <x:row r="50" spans="1:1025" s="37" customFormat="1" ht="17" customHeight="1" outlineLevel="0">
      <x:c r="A50" s="18" t="n">
        <x:v>1</x:v>
      </x:c>
      <x:c r="B50" s="33" t="s">
        <x:v>48</x:v>
      </x:c>
      <x:c r="C50" s="19" t="n">
        <x:v>19852</x:v>
      </x:c>
      <x:c r="D50" s="19" t="n">
        <x:v>1640</x:v>
      </x:c>
      <x:c r="E50" s="19" t="s"/>
      <x:c r="F50" s="19" t="s"/>
      <x:c r="G50" s="19" t="n">
        <x:v>6820</x:v>
      </x:c>
      <x:c r="H50" s="19" t="n">
        <x:v>1966</x:v>
      </x:c>
      <x:c r="I50" s="19" t="s"/>
      <x:c r="J50" s="19" t="s"/>
      <x:c r="K50" s="19" t="s"/>
      <x:c r="L50" s="19" t="s"/>
      <x:c r="M50" s="19" t="n">
        <x:v>7703</x:v>
      </x:c>
    </x:row>
    <x:row r="51" spans="1:1025" s="37" customFormat="1" ht="17" customHeight="1" outlineLevel="0">
      <x:c r="A51" s="18" t="n">
        <x:v>2</x:v>
      </x:c>
      <x:c r="B51" s="24" t="s">
        <x:v>49</x:v>
      </x:c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</x:row>
    <x:row r="52" spans="1:1025" s="37" customFormat="1" ht="17" customHeight="1" outlineLevel="0">
      <x:c r="A52" s="18" t="n">
        <x:v>3</x:v>
      </x:c>
      <x:c r="B52" s="34" t="s">
        <x:v>50</x:v>
      </x:c>
      <x:c r="C52" s="19" t="n">
        <x:v>258398</x:v>
      </x:c>
      <x:c r="D52" s="19" t="n">
        <x:v>165533</x:v>
      </x:c>
      <x:c r="E52" s="19" t="s"/>
      <x:c r="F52" s="19" t="n">
        <x:v>16145</x:v>
      </x:c>
      <x:c r="G52" s="19" t="n">
        <x:v>50319</x:v>
      </x:c>
      <x:c r="H52" s="52" t="s"/>
      <x:c r="I52" s="52" t="s"/>
      <x:c r="J52" s="52" t="s"/>
      <x:c r="K52" s="52" t="s"/>
      <x:c r="L52" s="52" t="s"/>
      <x:c r="M52" s="52" t="s"/>
    </x:row>
    <x:row r="53" spans="1:1025" s="37" customFormat="1" ht="17" customHeight="1" outlineLevel="0">
      <x:c r="A53" s="49" t="s">
        <x:v>51</x:v>
      </x:c>
      <x:c r="B53" s="50" t="s">
        <x:v>52</x:v>
      </x:c>
      <x:c r="C53" s="51" t="n">
        <x:f>SUM(C54:C55)</x:f>
      </x:c>
      <x:c r="D53" s="51" t="n">
        <x:f>SUM(D54:D55)</x:f>
      </x:c>
      <x:c r="E53" s="51" t="n">
        <x:f>SUM(E54:E55)</x:f>
      </x:c>
      <x:c r="F53" s="51" t="n">
        <x:f>SUM(F54:F55)</x:f>
      </x:c>
      <x:c r="G53" s="51" t="n">
        <x:f>SUM(G54:G55)</x:f>
      </x:c>
      <x:c r="H53" s="51" t="n">
        <x:f>SUM(H54:H55)</x:f>
      </x:c>
      <x:c r="I53" s="51" t="n">
        <x:f>SUM(I54:I55)</x:f>
      </x:c>
      <x:c r="J53" s="51" t="n">
        <x:f>SUM(J54:J55)</x:f>
      </x:c>
      <x:c r="K53" s="51" t="n">
        <x:f>SUM(K54:K55)</x:f>
      </x:c>
      <x:c r="L53" s="51" t="n">
        <x:f>SUM(L54:L55)</x:f>
      </x:c>
      <x:c r="M53" s="51" t="n">
        <x:f>SUM(M54:M55)</x:f>
      </x:c>
    </x:row>
    <x:row r="54" spans="1:1025" s="37" customFormat="1" ht="17" customHeight="1" outlineLevel="0">
      <x:c r="A54" s="18" t="n">
        <x:v>1</x:v>
      </x:c>
      <x:c r="B54" s="19" t="s">
        <x:v>53</x:v>
      </x:c>
      <x:c r="C54" s="19" t="n">
        <x:f>276746-6871</x:f>
      </x:c>
      <x:c r="D54" s="19" t="n">
        <x:f>144896-3064</x:f>
      </x:c>
      <x:c r="E54" s="19" t="n">
        <x:v>175766</x:v>
      </x:c>
      <x:c r="F54" s="19" t="n">
        <x:v>8212</x:v>
      </x:c>
      <x:c r="G54" s="19" t="n">
        <x:f>39654-37</x:f>
      </x:c>
      <x:c r="H54" s="19" t="n">
        <x:v>46575</x:v>
      </x:c>
      <x:c r="I54" s="19" t="n">
        <x:v>25527</x:v>
      </x:c>
      <x:c r="J54" s="19" t="n">
        <x:v>43484</x:v>
      </x:c>
      <x:c r="K54" s="19" t="n">
        <x:v>4195</x:v>
      </x:c>
      <x:c r="L54" s="19" t="n">
        <x:v>8795</x:v>
      </x:c>
      <x:c r="M54" s="19" t="n">
        <x:v>344319</x:v>
      </x:c>
    </x:row>
    <x:row r="55" spans="1:1025" s="37" customFormat="1" ht="17" customHeight="1" outlineLevel="0">
      <x:c r="A55" s="35" t="n">
        <x:v>2</x:v>
      </x:c>
      <x:c r="B55" s="36" t="s">
        <x:v>54</x:v>
      </x:c>
      <x:c r="C55" s="36" t="n">
        <x:v>75134</x:v>
      </x:c>
      <x:c r="D55" s="36" t="n">
        <x:v>32192</x:v>
      </x:c>
      <x:c r="E55" s="36" t="n">
        <x:v>71915</x:v>
      </x:c>
      <x:c r="F55" s="36" t="n">
        <x:v>5227</x:v>
      </x:c>
      <x:c r="G55" s="36" t="n">
        <x:v>5102</x:v>
      </x:c>
      <x:c r="H55" s="36" t="n">
        <x:v>12645</x:v>
      </x:c>
      <x:c r="I55" s="36" t="n">
        <x:v>3694</x:v>
      </x:c>
      <x:c r="J55" s="36" t="n">
        <x:v>8640</x:v>
      </x:c>
      <x:c r="K55" s="36" t="n">
        <x:v>1192</x:v>
      </x:c>
      <x:c r="L55" s="36" t="n">
        <x:v>702</x:v>
      </x:c>
      <x:c r="M55" s="36" t="n">
        <x:v>103067</x:v>
      </x:c>
    </x:row>
  </x:sheetData>
  <x:mergeCells count="9">
    <x:mergeCell ref="A1:A3"/>
    <x:mergeCell ref="B1:B3"/>
    <x:mergeCell ref="C1:G1"/>
    <x:mergeCell ref="H1:L1"/>
    <x:mergeCell ref="M1:M3"/>
    <x:mergeCell ref="C2:C3"/>
    <x:mergeCell ref="D2:G2"/>
    <x:mergeCell ref="H2:H3"/>
    <x:mergeCell ref="I2:L2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2019-05-28T10:51:00.0000000Z</dcterms:created>
  <dc:creator/>
  <dc:description/>
  <dc:language>en-US</dc:language>
  <lastModifiedBy/>
  <dcterms:modified xsi:type="dcterms:W3CDTF">2019-05-28T11:33:24.1900319Z</dcterms:modified>
  <revision>2</revision>
  <dc:subject/>
  <dc:title/>
</coreProperties>
</file>